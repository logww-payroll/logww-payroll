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ip Log" sheetId="2" state="visible" r:id="rId2"/>
    <sheet xmlns:r="http://schemas.openxmlformats.org/officeDocument/2006/relationships" name="Deduc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Commission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A4B8C"/>
      <sz val="10"/>
    </font>
    <font>
      <name val="Arial"/>
      <color rgb="00333333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color rgb="00555555"/>
      <sz val="9"/>
    </font>
    <font>
      <name val="Arial"/>
      <b val="1"/>
      <color rgb="00FFFFFF"/>
      <sz val="9"/>
    </font>
    <font>
      <name val="Arial"/>
      <color rgb="00888888"/>
      <sz val="9"/>
    </font>
    <font>
      <name val="Arial"/>
      <sz val="9"/>
    </font>
    <font>
      <name val="Arial"/>
      <color rgb="00444444"/>
      <sz val="9"/>
    </font>
    <font>
      <name val="Arial"/>
      <b val="1"/>
      <color rgb="00156B3A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8A2A1A"/>
      <sz val="9"/>
    </font>
    <font>
      <name val="Arial"/>
      <b val="1"/>
      <color rgb="008A2A1A"/>
      <sz val="10"/>
    </font>
    <font>
      <name val="Arial"/>
      <color rgb="00333333"/>
      <sz val="9"/>
    </font>
    <font>
      <name val="Arial"/>
      <color rgb="00156B3A"/>
      <sz val="9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2C4E"/>
      </patternFill>
    </fill>
    <fill>
      <patternFill patternType="solid">
        <fgColor rgb="00EBF2FF"/>
      </patternFill>
    </fill>
    <fill>
      <patternFill patternType="solid">
        <fgColor rgb="00F8F8F8"/>
      </patternFill>
    </fill>
    <fill>
      <patternFill patternType="solid">
        <fgColor rgb="00F0F0F0"/>
      </patternFill>
    </fill>
    <fill>
      <patternFill patternType="solid">
        <fgColor rgb="00F0F4F0"/>
      </patternFill>
    </fill>
    <fill>
      <patternFill patternType="solid">
        <fgColor rgb="00FFF3CD"/>
      </patternFill>
    </fill>
    <fill>
      <patternFill patternType="solid">
        <fgColor rgb="00FFF0EE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EDFAF2"/>
      </patternFill>
    </fill>
    <fill>
      <patternFill patternType="solid">
        <fgColor rgb="00F5FF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4" fontId="12" fillId="7" borderId="1" applyAlignment="1" pivotButton="0" quotePrefix="0" xfId="0">
      <alignment horizontal="right" vertical="center"/>
    </xf>
    <xf numFmtId="4" fontId="10" fillId="4" borderId="1" applyAlignment="1" pivotButton="0" quotePrefix="0" xfId="0">
      <alignment horizontal="right" vertical="center"/>
    </xf>
    <xf numFmtId="4" fontId="13" fillId="8" borderId="1" applyAlignment="1" pivotButton="0" quotePrefix="0" xfId="0">
      <alignment horizontal="right" vertical="center"/>
    </xf>
    <xf numFmtId="0" fontId="14" fillId="2" borderId="0" applyAlignment="1" pivotButton="0" quotePrefix="0" xfId="0">
      <alignment horizontal="right" vertical="center" wrapText="1"/>
    </xf>
    <xf numFmtId="4" fontId="15" fillId="8" borderId="1" applyAlignment="1" pivotButton="0" quotePrefix="0" xfId="0">
      <alignment horizontal="right" vertical="center"/>
    </xf>
    <xf numFmtId="0" fontId="10" fillId="4" borderId="1" pivotButton="0" quotePrefix="0" xfId="0"/>
    <xf numFmtId="0" fontId="10" fillId="4" borderId="1" applyAlignment="1" pivotButton="0" quotePrefix="0" xfId="0">
      <alignment horizontal="left" vertical="center" wrapText="1"/>
    </xf>
    <xf numFmtId="4" fontId="16" fillId="9" borderId="1" applyAlignment="1" pivotButton="0" quotePrefix="0" xfId="0">
      <alignment horizontal="right" vertical="center"/>
    </xf>
    <xf numFmtId="4" fontId="17" fillId="9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center" vertical="center"/>
    </xf>
    <xf numFmtId="4" fontId="18" fillId="10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4" fontId="18" fillId="11" borderId="1" applyAlignment="1" pivotButton="0" quotePrefix="0" xfId="0">
      <alignment horizontal="right" vertical="center"/>
    </xf>
    <xf numFmtId="4" fontId="12" fillId="10" borderId="1" applyAlignment="1" pivotButton="0" quotePrefix="0" xfId="0">
      <alignment horizontal="right" vertical="center"/>
    </xf>
    <xf numFmtId="4" fontId="12" fillId="11" borderId="1" applyAlignment="1" pivotButton="0" quotePrefix="0" xfId="0">
      <alignment horizontal="right" vertical="center"/>
    </xf>
    <xf numFmtId="0" fontId="12" fillId="12" borderId="0" applyAlignment="1" pivotButton="0" quotePrefix="0" xfId="0">
      <alignment horizontal="left" vertical="center"/>
    </xf>
    <xf numFmtId="0" fontId="12" fillId="12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5" customWidth="1" min="3" max="3"/>
  </cols>
  <sheetData>
    <row r="1" ht="8" customHeight="1"/>
    <row r="2" ht="32" customHeight="1">
      <c r="B2" s="1" t="inlineStr">
        <is>
          <t>LOGISTIQUE WORLD WIDE LLC — PAYROLL IMPORT TEMPLATE</t>
        </is>
      </c>
    </row>
    <row r="4" ht="22" customHeight="1">
      <c r="B4" s="2" t="inlineStr">
        <is>
          <t>How to use this template</t>
        </is>
      </c>
    </row>
    <row r="6" ht="28" customHeight="1">
      <c r="B6" s="3" t="inlineStr">
        <is>
          <t>1.</t>
        </is>
      </c>
      <c r="C6" s="4" t="inlineStr">
        <is>
          <t>Fill in the Trip Log sheet for each trip made this month. Select the driver and route from the dropdowns — commission calculates automatically.</t>
        </is>
      </c>
    </row>
    <row r="7" ht="28" customHeight="1">
      <c r="B7" s="3" t="inlineStr">
        <is>
          <t>2.</t>
        </is>
      </c>
      <c r="C7" s="4" t="inlineStr">
        <is>
          <t>Fill in the Deductions sheet for any fines, advances, or leave without pay. Select the employee and category from dropdowns.</t>
        </is>
      </c>
    </row>
    <row r="8" ht="28" customHeight="1">
      <c r="B8" s="3" t="inlineStr">
        <is>
          <t>3.</t>
        </is>
      </c>
      <c r="C8" s="4" t="inlineStr">
        <is>
          <t>Do NOT modify the Employees or Commission Rates sheets unless you need to update permanent data.</t>
        </is>
      </c>
    </row>
    <row r="9" ht="28" customHeight="1">
      <c r="B9" s="3" t="inlineStr">
        <is>
          <t>4.</t>
        </is>
      </c>
      <c r="C9" s="4" t="inlineStr">
        <is>
          <t>Save the file, then open the Payroll app → Import Excel → select this file → Confirm import.</t>
        </is>
      </c>
    </row>
    <row r="10" ht="28" customHeight="1">
      <c r="B10" s="3" t="inlineStr">
        <is>
          <t>5.</t>
        </is>
      </c>
      <c r="C10" s="4" t="inlineStr">
        <is>
          <t>Blue cells = data entry. Gray cells = auto-calculated. Do not type in gray cells.</t>
        </is>
      </c>
    </row>
    <row r="12" ht="22" customHeight="1">
      <c r="B12" s="2" t="inlineStr">
        <is>
          <t>Sheet guide</t>
        </is>
      </c>
    </row>
    <row r="14" ht="24" customHeight="1">
      <c r="B14" s="5" t="inlineStr">
        <is>
          <t>Trip Log</t>
        </is>
      </c>
      <c r="C14" s="6" t="inlineStr">
        <is>
          <t>Enter one row per trip. Select driver → select route → fill in expenses. Commission auto-calculates.</t>
        </is>
      </c>
    </row>
    <row r="15" ht="24" customHeight="1">
      <c r="B15" s="5" t="inlineStr">
        <is>
          <t>Deductions</t>
        </is>
      </c>
      <c r="C15" s="6" t="inlineStr">
        <is>
          <t>Enter one row per deduction (fine, advance, LWP). Select employee and category.</t>
        </is>
      </c>
    </row>
    <row r="16" ht="24" customHeight="1">
      <c r="B16" s="5" t="inlineStr">
        <is>
          <t>Employees</t>
        </is>
      </c>
      <c r="C16" s="6" t="inlineStr">
        <is>
          <t>Pre-filled with all 11 employees. Edit only if details have changed.</t>
        </is>
      </c>
    </row>
    <row r="17" ht="24" customHeight="1">
      <c r="B17" s="5" t="inlineStr">
        <is>
          <t>Commission Rates</t>
        </is>
      </c>
      <c r="C17" s="6" t="inlineStr">
        <is>
          <t>Pre-filled with all rate card entries. Edit only if rates change.</t>
        </is>
      </c>
    </row>
  </sheetData>
  <mergeCells count="3">
    <mergeCell ref="B4:C4"/>
    <mergeCell ref="B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20" customWidth="1" min="4" max="4"/>
    <col width="20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0.5" customWidth="1" min="13" max="13"/>
    <col width="0.5" customWidth="1" min="14" max="14"/>
    <col width="0.5" customWidth="1" min="15" max="15"/>
    <col width="0.5" customWidth="1" min="16" max="16"/>
  </cols>
  <sheetData>
    <row r="1" ht="8" customHeight="1"/>
    <row r="2" ht="28" customHeight="1">
      <c r="A2" s="7" t="inlineStr">
        <is>
          <t>LOGISTIQUE WORLD WIDE LLC — TRIP LOG</t>
        </is>
      </c>
      <c r="M2" t="inlineStr">
        <is>
          <t>DRC</t>
        </is>
      </c>
      <c r="N2" t="n">
        <v>35</v>
      </c>
      <c r="O2" t="inlineStr">
        <is>
          <t>Crown</t>
        </is>
      </c>
      <c r="P2" t="inlineStr">
        <is>
          <t>JUGRAJ SINGH TARSEM SINGH</t>
        </is>
      </c>
    </row>
    <row r="3" ht="18" customHeight="1">
      <c r="A3" s="8" t="inlineStr">
        <is>
          <t xml:space="preserve">  Blue cells = enter data   |   Gray cells = auto-calculated (do not edit)   |   Select driver and route from dropdowns</t>
        </is>
      </c>
      <c r="M3" t="inlineStr">
        <is>
          <t>ADRC</t>
        </is>
      </c>
      <c r="N3" t="n">
        <v>85</v>
      </c>
      <c r="O3" t="inlineStr">
        <is>
          <t>Crown</t>
        </is>
      </c>
      <c r="P3" t="inlineStr">
        <is>
          <t>INDERJEET SINGH JASWANT SINGH</t>
        </is>
      </c>
    </row>
    <row r="4" ht="8" customHeight="1">
      <c r="M4" t="inlineStr">
        <is>
          <t>ORC</t>
        </is>
      </c>
      <c r="N4" t="n">
        <v>160</v>
      </c>
      <c r="O4" t="inlineStr">
        <is>
          <t>Crown</t>
        </is>
      </c>
      <c r="P4" t="inlineStr">
        <is>
          <t>WASEEM KHAN ABDUL WAHAB</t>
        </is>
      </c>
    </row>
    <row r="5" ht="36" customHeight="1">
      <c r="A5" s="9" t="inlineStr">
        <is>
          <t>Sl</t>
        </is>
      </c>
      <c r="B5" s="9" t="inlineStr">
        <is>
          <t>Date</t>
        </is>
      </c>
      <c r="C5" s="9" t="inlineStr">
        <is>
          <t>Driver Name</t>
        </is>
      </c>
      <c r="D5" s="9" t="inlineStr">
        <is>
          <t>Customer
(auto)</t>
        </is>
      </c>
      <c r="E5" s="9" t="inlineStr">
        <is>
          <t>Route / Trip Type</t>
        </is>
      </c>
      <c r="F5" s="9" t="inlineStr">
        <is>
          <t>Truck No</t>
        </is>
      </c>
      <c r="G5" s="9" t="inlineStr">
        <is>
          <t>Trip Comm
(auto, AED)</t>
        </is>
      </c>
      <c r="H5" s="9" t="inlineStr">
        <is>
          <t>Border Exp
(AED)</t>
        </is>
      </c>
      <c r="I5" s="9" t="inlineStr">
        <is>
          <t>Diesel Exp
(AED)</t>
        </is>
      </c>
      <c r="J5" s="9" t="inlineStr">
        <is>
          <t>Other Exp
(AED)</t>
        </is>
      </c>
      <c r="K5" s="9" t="inlineStr">
        <is>
          <t>Total
(auto, AED)</t>
        </is>
      </c>
      <c r="M5" t="inlineStr">
        <is>
          <t>Impala</t>
        </is>
      </c>
      <c r="N5" t="n">
        <v>25</v>
      </c>
      <c r="O5" t="inlineStr">
        <is>
          <t>Crown</t>
        </is>
      </c>
      <c r="P5" t="inlineStr">
        <is>
          <t>FAISAL RASHEED AWAN ABDUL RASHEED</t>
        </is>
      </c>
    </row>
    <row r="6" ht="18" customHeight="1">
      <c r="A6" s="10">
        <f>IF(B6&lt;&gt;"",ROW()-5,"")</f>
        <v/>
      </c>
      <c r="B6" s="11" t="n"/>
      <c r="C6" s="12" t="n"/>
      <c r="D6" s="13">
        <f>IFERROR(VLOOKUP(E6,$M$2:$O$12,3,0),"")</f>
        <v/>
      </c>
      <c r="E6" s="12" t="n"/>
      <c r="F6" s="14" t="n"/>
      <c r="G6" s="15">
        <f>IFERROR(IF(E6&lt;&gt;"",VLOOKUP(E6,$M$2:$N$12,2,0),""),"")</f>
        <v/>
      </c>
      <c r="H6" s="16" t="n"/>
      <c r="I6" s="16" t="n"/>
      <c r="J6" s="16" t="n"/>
      <c r="K6" s="17">
        <f>IFERROR(IF(E6&lt;&gt;"",G6+IF(H6="",0,H6)+IF(I6="",0,I6)+IF(J6="",0,J6),""),"")</f>
        <v/>
      </c>
      <c r="M6" t="inlineStr">
        <is>
          <t>UBF</t>
        </is>
      </c>
      <c r="N6" t="n">
        <v>35</v>
      </c>
      <c r="O6" t="inlineStr">
        <is>
          <t>Crown</t>
        </is>
      </c>
      <c r="P6" t="inlineStr">
        <is>
          <t>SAJID GULZAR GULZAR NASEEM</t>
        </is>
      </c>
    </row>
    <row r="7" ht="18" customHeight="1">
      <c r="A7" s="10">
        <f>IF(B7&lt;&gt;"",ROW()-5,"")</f>
        <v/>
      </c>
      <c r="B7" s="11" t="n"/>
      <c r="C7" s="12" t="n"/>
      <c r="D7" s="13">
        <f>IFERROR(VLOOKUP(E7,$M$2:$O$12,3,0),"")</f>
        <v/>
      </c>
      <c r="E7" s="12" t="n"/>
      <c r="F7" s="14" t="n"/>
      <c r="G7" s="15">
        <f>IFERROR(IF(E7&lt;&gt;"",VLOOKUP(E7,$M$2:$N$12,2,0),""),"")</f>
        <v/>
      </c>
      <c r="H7" s="16" t="n"/>
      <c r="I7" s="16" t="n"/>
      <c r="J7" s="16" t="n"/>
      <c r="K7" s="17">
        <f>IFERROR(IF(E7&lt;&gt;"",G7+IF(H7="",0,H7)+IF(I7="",0,I7)+IF(J7="",0,J7),""),"")</f>
        <v/>
      </c>
      <c r="M7" t="inlineStr">
        <is>
          <t>Aujan</t>
        </is>
      </c>
      <c r="N7" t="n">
        <v>35</v>
      </c>
      <c r="O7" t="inlineStr">
        <is>
          <t>Crown</t>
        </is>
      </c>
      <c r="P7" t="inlineStr">
        <is>
          <t>MUHAMMAD ISHTIAQ GUL AKBAR</t>
        </is>
      </c>
    </row>
    <row r="8" ht="18" customHeight="1">
      <c r="A8" s="10">
        <f>IF(B8&lt;&gt;"",ROW()-5,"")</f>
        <v/>
      </c>
      <c r="B8" s="11" t="n"/>
      <c r="C8" s="12" t="n"/>
      <c r="D8" s="13">
        <f>IFERROR(VLOOKUP(E8,$M$2:$O$12,3,0),"")</f>
        <v/>
      </c>
      <c r="E8" s="12" t="n"/>
      <c r="F8" s="14" t="n"/>
      <c r="G8" s="15">
        <f>IFERROR(IF(E8&lt;&gt;"",VLOOKUP(E8,$M$2:$N$12,2,0),""),"")</f>
        <v/>
      </c>
      <c r="H8" s="16" t="n"/>
      <c r="I8" s="16" t="n"/>
      <c r="J8" s="16" t="n"/>
      <c r="K8" s="17">
        <f>IFERROR(IF(E8&lt;&gt;"",G8+IF(H8="",0,H8)+IF(I8="",0,I8)+IF(J8="",0,J8),""),"")</f>
        <v/>
      </c>
      <c r="M8" t="inlineStr">
        <is>
          <t>Kingsley</t>
        </is>
      </c>
      <c r="N8" t="n">
        <v>25</v>
      </c>
      <c r="O8" t="inlineStr">
        <is>
          <t>Crown</t>
        </is>
      </c>
      <c r="P8" t="inlineStr">
        <is>
          <t>SAROJ PARIYAR</t>
        </is>
      </c>
    </row>
    <row r="9" ht="18" customHeight="1">
      <c r="A9" s="10">
        <f>IF(B9&lt;&gt;"",ROW()-5,"")</f>
        <v/>
      </c>
      <c r="B9" s="11" t="n"/>
      <c r="C9" s="12" t="n"/>
      <c r="D9" s="13">
        <f>IFERROR(VLOOKUP(E9,$M$2:$O$12,3,0),"")</f>
        <v/>
      </c>
      <c r="E9" s="12" t="n"/>
      <c r="F9" s="14" t="n"/>
      <c r="G9" s="15">
        <f>IFERROR(IF(E9&lt;&gt;"",VLOOKUP(E9,$M$2:$N$12,2,0),""),"")</f>
        <v/>
      </c>
      <c r="H9" s="16" t="n"/>
      <c r="I9" s="16" t="n"/>
      <c r="J9" s="16" t="n"/>
      <c r="K9" s="17">
        <f>IFERROR(IF(E9&lt;&gt;"",G9+IF(H9="",0,H9)+IF(I9="",0,I9)+IF(J9="",0,J9),""),"")</f>
        <v/>
      </c>
      <c r="M9" t="inlineStr">
        <is>
          <t>DIP to RAK</t>
        </is>
      </c>
      <c r="N9" t="n">
        <v>90</v>
      </c>
      <c r="O9" t="inlineStr">
        <is>
          <t>Utmost</t>
        </is>
      </c>
      <c r="P9" t="inlineStr">
        <is>
          <t>BIR BAHADUR BHUJEL DHAN BAHADUR BHUJEL</t>
        </is>
      </c>
    </row>
    <row r="10" ht="18" customHeight="1">
      <c r="A10" s="10">
        <f>IF(B10&lt;&gt;"",ROW()-5,"")</f>
        <v/>
      </c>
      <c r="B10" s="11" t="n"/>
      <c r="C10" s="12" t="n"/>
      <c r="D10" s="13">
        <f>IFERROR(VLOOKUP(E10,$M$2:$O$12,3,0),"")</f>
        <v/>
      </c>
      <c r="E10" s="12" t="n"/>
      <c r="F10" s="14" t="n"/>
      <c r="G10" s="15">
        <f>IFERROR(IF(E10&lt;&gt;"",VLOOKUP(E10,$M$2:$N$12,2,0),""),"")</f>
        <v/>
      </c>
      <c r="H10" s="16" t="n"/>
      <c r="I10" s="16" t="n"/>
      <c r="J10" s="16" t="n"/>
      <c r="K10" s="17">
        <f>IFERROR(IF(E10&lt;&gt;"",G10+IF(H10="",0,H10)+IF(I10="",0,I10)+IF(J10="",0,J10),""),"")</f>
        <v/>
      </c>
      <c r="M10" t="inlineStr">
        <is>
          <t>DIP to Fujairah</t>
        </is>
      </c>
      <c r="N10" t="n">
        <v>100</v>
      </c>
      <c r="O10" t="inlineStr">
        <is>
          <t>Utmost</t>
        </is>
      </c>
      <c r="P10" t="inlineStr">
        <is>
          <t>SURJIT SINGH DALIP SINGH</t>
        </is>
      </c>
    </row>
    <row r="11" ht="18" customHeight="1">
      <c r="A11" s="10">
        <f>IF(B11&lt;&gt;"",ROW()-5,"")</f>
        <v/>
      </c>
      <c r="B11" s="11" t="n"/>
      <c r="C11" s="12" t="n"/>
      <c r="D11" s="13">
        <f>IFERROR(VLOOKUP(E11,$M$2:$O$12,3,0),"")</f>
        <v/>
      </c>
      <c r="E11" s="12" t="n"/>
      <c r="F11" s="14" t="n"/>
      <c r="G11" s="15">
        <f>IFERROR(IF(E11&lt;&gt;"",VLOOKUP(E11,$M$2:$N$12,2,0),""),"")</f>
        <v/>
      </c>
      <c r="H11" s="16" t="n"/>
      <c r="I11" s="16" t="n"/>
      <c r="J11" s="16" t="n"/>
      <c r="K11" s="17">
        <f>IFERROR(IF(E11&lt;&gt;"",G11+IF(H11="",0,H11)+IF(I11="",0,I11)+IF(J11="",0,J11),""),"")</f>
        <v/>
      </c>
      <c r="M11" t="inlineStr">
        <is>
          <t>DIP to Dubai</t>
        </is>
      </c>
      <c r="N11" t="n">
        <v>50</v>
      </c>
      <c r="O11" t="inlineStr">
        <is>
          <t>Utmost</t>
        </is>
      </c>
      <c r="P11" t="inlineStr">
        <is>
          <t>IRFAN ZAFAR ZAFAR IQBAL</t>
        </is>
      </c>
    </row>
    <row r="12" ht="18" customHeight="1">
      <c r="A12" s="10">
        <f>IF(B12&lt;&gt;"",ROW()-5,"")</f>
        <v/>
      </c>
      <c r="B12" s="11" t="n"/>
      <c r="C12" s="12" t="n"/>
      <c r="D12" s="13">
        <f>IFERROR(VLOOKUP(E12,$M$2:$O$12,3,0),"")</f>
        <v/>
      </c>
      <c r="E12" s="12" t="n"/>
      <c r="F12" s="14" t="n"/>
      <c r="G12" s="15">
        <f>IFERROR(IF(E12&lt;&gt;"",VLOOKUP(E12,$M$2:$N$12,2,0),""),"")</f>
        <v/>
      </c>
      <c r="H12" s="16" t="n"/>
      <c r="I12" s="16" t="n"/>
      <c r="J12" s="16" t="n"/>
      <c r="K12" s="17">
        <f>IFERROR(IF(E12&lt;&gt;"",G12+IF(H12="",0,H12)+IF(I12="",0,I12)+IF(J12="",0,J12),""),"")</f>
        <v/>
      </c>
      <c r="M12" t="inlineStr">
        <is>
          <t>Automech</t>
        </is>
      </c>
      <c r="N12" t="n">
        <v>900</v>
      </c>
      <c r="O12" t="inlineStr">
        <is>
          <t>Automech</t>
        </is>
      </c>
      <c r="P12" t="inlineStr">
        <is>
          <t>JAINUL RAFIQ MOHAMMAD RAFIQ</t>
        </is>
      </c>
    </row>
    <row r="13" ht="18" customHeight="1">
      <c r="A13" s="10">
        <f>IF(B13&lt;&gt;"",ROW()-5,"")</f>
        <v/>
      </c>
      <c r="B13" s="11" t="n"/>
      <c r="C13" s="12" t="n"/>
      <c r="D13" s="13">
        <f>IFERROR(VLOOKUP(E13,$M$2:$O$12,3,0),"")</f>
        <v/>
      </c>
      <c r="E13" s="12" t="n"/>
      <c r="F13" s="14" t="n"/>
      <c r="G13" s="15">
        <f>IFERROR(IF(E13&lt;&gt;"",VLOOKUP(E13,$M$2:$N$12,2,0),""),"")</f>
        <v/>
      </c>
      <c r="H13" s="16" t="n"/>
      <c r="I13" s="16" t="n"/>
      <c r="J13" s="16" t="n"/>
      <c r="K13" s="17">
        <f>IFERROR(IF(E13&lt;&gt;"",G13+IF(H13="",0,H13)+IF(I13="",0,I13)+IF(J13="",0,J13),""),"")</f>
        <v/>
      </c>
    </row>
    <row r="14" ht="18" customHeight="1">
      <c r="A14" s="10">
        <f>IF(B14&lt;&gt;"",ROW()-5,"")</f>
        <v/>
      </c>
      <c r="B14" s="11" t="n"/>
      <c r="C14" s="12" t="n"/>
      <c r="D14" s="13">
        <f>IFERROR(VLOOKUP(E14,$M$2:$O$12,3,0),"")</f>
        <v/>
      </c>
      <c r="E14" s="12" t="n"/>
      <c r="F14" s="14" t="n"/>
      <c r="G14" s="15">
        <f>IFERROR(IF(E14&lt;&gt;"",VLOOKUP(E14,$M$2:$N$12,2,0),""),"")</f>
        <v/>
      </c>
      <c r="H14" s="16" t="n"/>
      <c r="I14" s="16" t="n"/>
      <c r="J14" s="16" t="n"/>
      <c r="K14" s="17">
        <f>IFERROR(IF(E14&lt;&gt;"",G14+IF(H14="",0,H14)+IF(I14="",0,I14)+IF(J14="",0,J14),""),"")</f>
        <v/>
      </c>
    </row>
    <row r="15" ht="18" customHeight="1">
      <c r="A15" s="10">
        <f>IF(B15&lt;&gt;"",ROW()-5,"")</f>
        <v/>
      </c>
      <c r="B15" s="11" t="n"/>
      <c r="C15" s="12" t="n"/>
      <c r="D15" s="13">
        <f>IFERROR(VLOOKUP(E15,$M$2:$O$12,3,0),"")</f>
        <v/>
      </c>
      <c r="E15" s="12" t="n"/>
      <c r="F15" s="14" t="n"/>
      <c r="G15" s="15">
        <f>IFERROR(IF(E15&lt;&gt;"",VLOOKUP(E15,$M$2:$N$12,2,0),""),"")</f>
        <v/>
      </c>
      <c r="H15" s="16" t="n"/>
      <c r="I15" s="16" t="n"/>
      <c r="J15" s="16" t="n"/>
      <c r="K15" s="17">
        <f>IFERROR(IF(E15&lt;&gt;"",G15+IF(H15="",0,H15)+IF(I15="",0,I15)+IF(J15="",0,J15),""),"")</f>
        <v/>
      </c>
    </row>
    <row r="16" ht="18" customHeight="1">
      <c r="A16" s="10">
        <f>IF(B16&lt;&gt;"",ROW()-5,"")</f>
        <v/>
      </c>
      <c r="B16" s="11" t="n"/>
      <c r="C16" s="12" t="n"/>
      <c r="D16" s="13">
        <f>IFERROR(VLOOKUP(E16,$M$2:$O$12,3,0),"")</f>
        <v/>
      </c>
      <c r="E16" s="12" t="n"/>
      <c r="F16" s="14" t="n"/>
      <c r="G16" s="15">
        <f>IFERROR(IF(E16&lt;&gt;"",VLOOKUP(E16,$M$2:$N$12,2,0),""),"")</f>
        <v/>
      </c>
      <c r="H16" s="16" t="n"/>
      <c r="I16" s="16" t="n"/>
      <c r="J16" s="16" t="n"/>
      <c r="K16" s="17">
        <f>IFERROR(IF(E16&lt;&gt;"",G16+IF(H16="",0,H16)+IF(I16="",0,I16)+IF(J16="",0,J16),""),"")</f>
        <v/>
      </c>
    </row>
    <row r="17" ht="18" customHeight="1">
      <c r="A17" s="10">
        <f>IF(B17&lt;&gt;"",ROW()-5,"")</f>
        <v/>
      </c>
      <c r="B17" s="11" t="n"/>
      <c r="C17" s="12" t="n"/>
      <c r="D17" s="13">
        <f>IFERROR(VLOOKUP(E17,$M$2:$O$12,3,0),"")</f>
        <v/>
      </c>
      <c r="E17" s="12" t="n"/>
      <c r="F17" s="14" t="n"/>
      <c r="G17" s="15">
        <f>IFERROR(IF(E17&lt;&gt;"",VLOOKUP(E17,$M$2:$N$12,2,0),""),"")</f>
        <v/>
      </c>
      <c r="H17" s="16" t="n"/>
      <c r="I17" s="16" t="n"/>
      <c r="J17" s="16" t="n"/>
      <c r="K17" s="17">
        <f>IFERROR(IF(E17&lt;&gt;"",G17+IF(H17="",0,H17)+IF(I17="",0,I17)+IF(J17="",0,J17),""),"")</f>
        <v/>
      </c>
    </row>
    <row r="18" ht="18" customHeight="1">
      <c r="A18" s="10">
        <f>IF(B18&lt;&gt;"",ROW()-5,"")</f>
        <v/>
      </c>
      <c r="B18" s="11" t="n"/>
      <c r="C18" s="12" t="n"/>
      <c r="D18" s="13">
        <f>IFERROR(VLOOKUP(E18,$M$2:$O$12,3,0),"")</f>
        <v/>
      </c>
      <c r="E18" s="12" t="n"/>
      <c r="F18" s="14" t="n"/>
      <c r="G18" s="15">
        <f>IFERROR(IF(E18&lt;&gt;"",VLOOKUP(E18,$M$2:$N$12,2,0),""),"")</f>
        <v/>
      </c>
      <c r="H18" s="16" t="n"/>
      <c r="I18" s="16" t="n"/>
      <c r="J18" s="16" t="n"/>
      <c r="K18" s="17">
        <f>IFERROR(IF(E18&lt;&gt;"",G18+IF(H18="",0,H18)+IF(I18="",0,I18)+IF(J18="",0,J18),""),"")</f>
        <v/>
      </c>
    </row>
    <row r="19" ht="18" customHeight="1">
      <c r="A19" s="10">
        <f>IF(B19&lt;&gt;"",ROW()-5,"")</f>
        <v/>
      </c>
      <c r="B19" s="11" t="n"/>
      <c r="C19" s="12" t="n"/>
      <c r="D19" s="13">
        <f>IFERROR(VLOOKUP(E19,$M$2:$O$12,3,0),"")</f>
        <v/>
      </c>
      <c r="E19" s="12" t="n"/>
      <c r="F19" s="14" t="n"/>
      <c r="G19" s="15">
        <f>IFERROR(IF(E19&lt;&gt;"",VLOOKUP(E19,$M$2:$N$12,2,0),""),"")</f>
        <v/>
      </c>
      <c r="H19" s="16" t="n"/>
      <c r="I19" s="16" t="n"/>
      <c r="J19" s="16" t="n"/>
      <c r="K19" s="17">
        <f>IFERROR(IF(E19&lt;&gt;"",G19+IF(H19="",0,H19)+IF(I19="",0,I19)+IF(J19="",0,J19),""),"")</f>
        <v/>
      </c>
    </row>
    <row r="20" ht="18" customHeight="1">
      <c r="A20" s="10">
        <f>IF(B20&lt;&gt;"",ROW()-5,"")</f>
        <v/>
      </c>
      <c r="B20" s="11" t="n"/>
      <c r="C20" s="12" t="n"/>
      <c r="D20" s="13">
        <f>IFERROR(VLOOKUP(E20,$M$2:$O$12,3,0),"")</f>
        <v/>
      </c>
      <c r="E20" s="12" t="n"/>
      <c r="F20" s="14" t="n"/>
      <c r="G20" s="15">
        <f>IFERROR(IF(E20&lt;&gt;"",VLOOKUP(E20,$M$2:$N$12,2,0),""),"")</f>
        <v/>
      </c>
      <c r="H20" s="16" t="n"/>
      <c r="I20" s="16" t="n"/>
      <c r="J20" s="16" t="n"/>
      <c r="K20" s="17">
        <f>IFERROR(IF(E20&lt;&gt;"",G20+IF(H20="",0,H20)+IF(I20="",0,I20)+IF(J20="",0,J20),""),"")</f>
        <v/>
      </c>
    </row>
    <row r="21" ht="18" customHeight="1">
      <c r="A21" s="10">
        <f>IF(B21&lt;&gt;"",ROW()-5,"")</f>
        <v/>
      </c>
      <c r="B21" s="11" t="n"/>
      <c r="C21" s="12" t="n"/>
      <c r="D21" s="13">
        <f>IFERROR(VLOOKUP(E21,$M$2:$O$12,3,0),"")</f>
        <v/>
      </c>
      <c r="E21" s="12" t="n"/>
      <c r="F21" s="14" t="n"/>
      <c r="G21" s="15">
        <f>IFERROR(IF(E21&lt;&gt;"",VLOOKUP(E21,$M$2:$N$12,2,0),""),"")</f>
        <v/>
      </c>
      <c r="H21" s="16" t="n"/>
      <c r="I21" s="16" t="n"/>
      <c r="J21" s="16" t="n"/>
      <c r="K21" s="17">
        <f>IFERROR(IF(E21&lt;&gt;"",G21+IF(H21="",0,H21)+IF(I21="",0,I21)+IF(J21="",0,J21),""),"")</f>
        <v/>
      </c>
    </row>
    <row r="22" ht="18" customHeight="1">
      <c r="A22" s="10">
        <f>IF(B22&lt;&gt;"",ROW()-5,"")</f>
        <v/>
      </c>
      <c r="B22" s="11" t="n"/>
      <c r="C22" s="12" t="n"/>
      <c r="D22" s="13">
        <f>IFERROR(VLOOKUP(E22,$M$2:$O$12,3,0),"")</f>
        <v/>
      </c>
      <c r="E22" s="12" t="n"/>
      <c r="F22" s="14" t="n"/>
      <c r="G22" s="15">
        <f>IFERROR(IF(E22&lt;&gt;"",VLOOKUP(E22,$M$2:$N$12,2,0),""),"")</f>
        <v/>
      </c>
      <c r="H22" s="16" t="n"/>
      <c r="I22" s="16" t="n"/>
      <c r="J22" s="16" t="n"/>
      <c r="K22" s="17">
        <f>IFERROR(IF(E22&lt;&gt;"",G22+IF(H22="",0,H22)+IF(I22="",0,I22)+IF(J22="",0,J22),""),"")</f>
        <v/>
      </c>
    </row>
    <row r="23" ht="18" customHeight="1">
      <c r="A23" s="10">
        <f>IF(B23&lt;&gt;"",ROW()-5,"")</f>
        <v/>
      </c>
      <c r="B23" s="11" t="n"/>
      <c r="C23" s="12" t="n"/>
      <c r="D23" s="13">
        <f>IFERROR(VLOOKUP(E23,$M$2:$O$12,3,0),"")</f>
        <v/>
      </c>
      <c r="E23" s="12" t="n"/>
      <c r="F23" s="14" t="n"/>
      <c r="G23" s="15">
        <f>IFERROR(IF(E23&lt;&gt;"",VLOOKUP(E23,$M$2:$N$12,2,0),""),"")</f>
        <v/>
      </c>
      <c r="H23" s="16" t="n"/>
      <c r="I23" s="16" t="n"/>
      <c r="J23" s="16" t="n"/>
      <c r="K23" s="17">
        <f>IFERROR(IF(E23&lt;&gt;"",G23+IF(H23="",0,H23)+IF(I23="",0,I23)+IF(J23="",0,J23),""),"")</f>
        <v/>
      </c>
    </row>
    <row r="24" ht="18" customHeight="1">
      <c r="A24" s="10">
        <f>IF(B24&lt;&gt;"",ROW()-5,"")</f>
        <v/>
      </c>
      <c r="B24" s="11" t="n"/>
      <c r="C24" s="12" t="n"/>
      <c r="D24" s="13">
        <f>IFERROR(VLOOKUP(E24,$M$2:$O$12,3,0),"")</f>
        <v/>
      </c>
      <c r="E24" s="12" t="n"/>
      <c r="F24" s="14" t="n"/>
      <c r="G24" s="15">
        <f>IFERROR(IF(E24&lt;&gt;"",VLOOKUP(E24,$M$2:$N$12,2,0),""),"")</f>
        <v/>
      </c>
      <c r="H24" s="16" t="n"/>
      <c r="I24" s="16" t="n"/>
      <c r="J24" s="16" t="n"/>
      <c r="K24" s="17">
        <f>IFERROR(IF(E24&lt;&gt;"",G24+IF(H24="",0,H24)+IF(I24="",0,I24)+IF(J24="",0,J24),""),"")</f>
        <v/>
      </c>
    </row>
    <row r="25" ht="18" customHeight="1">
      <c r="A25" s="10">
        <f>IF(B25&lt;&gt;"",ROW()-5,"")</f>
        <v/>
      </c>
      <c r="B25" s="11" t="n"/>
      <c r="C25" s="12" t="n"/>
      <c r="D25" s="13">
        <f>IFERROR(VLOOKUP(E25,$M$2:$O$12,3,0),"")</f>
        <v/>
      </c>
      <c r="E25" s="12" t="n"/>
      <c r="F25" s="14" t="n"/>
      <c r="G25" s="15">
        <f>IFERROR(IF(E25&lt;&gt;"",VLOOKUP(E25,$M$2:$N$12,2,0),""),"")</f>
        <v/>
      </c>
      <c r="H25" s="16" t="n"/>
      <c r="I25" s="16" t="n"/>
      <c r="J25" s="16" t="n"/>
      <c r="K25" s="17">
        <f>IFERROR(IF(E25&lt;&gt;"",G25+IF(H25="",0,H25)+IF(I25="",0,I25)+IF(J25="",0,J25),""),"")</f>
        <v/>
      </c>
    </row>
    <row r="26" ht="18" customHeight="1">
      <c r="A26" s="10">
        <f>IF(B26&lt;&gt;"",ROW()-5,"")</f>
        <v/>
      </c>
      <c r="B26" s="11" t="n"/>
      <c r="C26" s="12" t="n"/>
      <c r="D26" s="13">
        <f>IFERROR(VLOOKUP(E26,$M$2:$O$12,3,0),"")</f>
        <v/>
      </c>
      <c r="E26" s="12" t="n"/>
      <c r="F26" s="14" t="n"/>
      <c r="G26" s="15">
        <f>IFERROR(IF(E26&lt;&gt;"",VLOOKUP(E26,$M$2:$N$12,2,0),""),"")</f>
        <v/>
      </c>
      <c r="H26" s="16" t="n"/>
      <c r="I26" s="16" t="n"/>
      <c r="J26" s="16" t="n"/>
      <c r="K26" s="17">
        <f>IFERROR(IF(E26&lt;&gt;"",G26+IF(H26="",0,H26)+IF(I26="",0,I26)+IF(J26="",0,J26),""),"")</f>
        <v/>
      </c>
    </row>
    <row r="27" ht="18" customHeight="1">
      <c r="A27" s="10">
        <f>IF(B27&lt;&gt;"",ROW()-5,"")</f>
        <v/>
      </c>
      <c r="B27" s="11" t="n"/>
      <c r="C27" s="12" t="n"/>
      <c r="D27" s="13">
        <f>IFERROR(VLOOKUP(E27,$M$2:$O$12,3,0),"")</f>
        <v/>
      </c>
      <c r="E27" s="12" t="n"/>
      <c r="F27" s="14" t="n"/>
      <c r="G27" s="15">
        <f>IFERROR(IF(E27&lt;&gt;"",VLOOKUP(E27,$M$2:$N$12,2,0),""),"")</f>
        <v/>
      </c>
      <c r="H27" s="16" t="n"/>
      <c r="I27" s="16" t="n"/>
      <c r="J27" s="16" t="n"/>
      <c r="K27" s="17">
        <f>IFERROR(IF(E27&lt;&gt;"",G27+IF(H27="",0,H27)+IF(I27="",0,I27)+IF(J27="",0,J27),""),"")</f>
        <v/>
      </c>
    </row>
    <row r="28" ht="18" customHeight="1">
      <c r="A28" s="10">
        <f>IF(B28&lt;&gt;"",ROW()-5,"")</f>
        <v/>
      </c>
      <c r="B28" s="11" t="n"/>
      <c r="C28" s="12" t="n"/>
      <c r="D28" s="13">
        <f>IFERROR(VLOOKUP(E28,$M$2:$O$12,3,0),"")</f>
        <v/>
      </c>
      <c r="E28" s="12" t="n"/>
      <c r="F28" s="14" t="n"/>
      <c r="G28" s="15">
        <f>IFERROR(IF(E28&lt;&gt;"",VLOOKUP(E28,$M$2:$N$12,2,0),""),"")</f>
        <v/>
      </c>
      <c r="H28" s="16" t="n"/>
      <c r="I28" s="16" t="n"/>
      <c r="J28" s="16" t="n"/>
      <c r="K28" s="17">
        <f>IFERROR(IF(E28&lt;&gt;"",G28+IF(H28="",0,H28)+IF(I28="",0,I28)+IF(J28="",0,J28),""),"")</f>
        <v/>
      </c>
    </row>
    <row r="29" ht="18" customHeight="1">
      <c r="A29" s="10">
        <f>IF(B29&lt;&gt;"",ROW()-5,"")</f>
        <v/>
      </c>
      <c r="B29" s="11" t="n"/>
      <c r="C29" s="12" t="n"/>
      <c r="D29" s="13">
        <f>IFERROR(VLOOKUP(E29,$M$2:$O$12,3,0),"")</f>
        <v/>
      </c>
      <c r="E29" s="12" t="n"/>
      <c r="F29" s="14" t="n"/>
      <c r="G29" s="15">
        <f>IFERROR(IF(E29&lt;&gt;"",VLOOKUP(E29,$M$2:$N$12,2,0),""),"")</f>
        <v/>
      </c>
      <c r="H29" s="16" t="n"/>
      <c r="I29" s="16" t="n"/>
      <c r="J29" s="16" t="n"/>
      <c r="K29" s="17">
        <f>IFERROR(IF(E29&lt;&gt;"",G29+IF(H29="",0,H29)+IF(I29="",0,I29)+IF(J29="",0,J29),""),"")</f>
        <v/>
      </c>
    </row>
    <row r="30" ht="18" customHeight="1">
      <c r="A30" s="10">
        <f>IF(B30&lt;&gt;"",ROW()-5,"")</f>
        <v/>
      </c>
      <c r="B30" s="11" t="n"/>
      <c r="C30" s="12" t="n"/>
      <c r="D30" s="13">
        <f>IFERROR(VLOOKUP(E30,$M$2:$O$12,3,0),"")</f>
        <v/>
      </c>
      <c r="E30" s="12" t="n"/>
      <c r="F30" s="14" t="n"/>
      <c r="G30" s="15">
        <f>IFERROR(IF(E30&lt;&gt;"",VLOOKUP(E30,$M$2:$N$12,2,0),""),"")</f>
        <v/>
      </c>
      <c r="H30" s="16" t="n"/>
      <c r="I30" s="16" t="n"/>
      <c r="J30" s="16" t="n"/>
      <c r="K30" s="17">
        <f>IFERROR(IF(E30&lt;&gt;"",G30+IF(H30="",0,H30)+IF(I30="",0,I30)+IF(J30="",0,J30),""),"")</f>
        <v/>
      </c>
    </row>
    <row r="31" ht="18" customHeight="1">
      <c r="A31" s="10">
        <f>IF(B31&lt;&gt;"",ROW()-5,"")</f>
        <v/>
      </c>
      <c r="B31" s="11" t="n"/>
      <c r="C31" s="12" t="n"/>
      <c r="D31" s="13">
        <f>IFERROR(VLOOKUP(E31,$M$2:$O$12,3,0),"")</f>
        <v/>
      </c>
      <c r="E31" s="12" t="n"/>
      <c r="F31" s="14" t="n"/>
      <c r="G31" s="15">
        <f>IFERROR(IF(E31&lt;&gt;"",VLOOKUP(E31,$M$2:$N$12,2,0),""),"")</f>
        <v/>
      </c>
      <c r="H31" s="16" t="n"/>
      <c r="I31" s="16" t="n"/>
      <c r="J31" s="16" t="n"/>
      <c r="K31" s="17">
        <f>IFERROR(IF(E31&lt;&gt;"",G31+IF(H31="",0,H31)+IF(I31="",0,I31)+IF(J31="",0,J31),""),"")</f>
        <v/>
      </c>
    </row>
    <row r="32" ht="18" customHeight="1">
      <c r="A32" s="10">
        <f>IF(B32&lt;&gt;"",ROW()-5,"")</f>
        <v/>
      </c>
      <c r="B32" s="11" t="n"/>
      <c r="C32" s="12" t="n"/>
      <c r="D32" s="13">
        <f>IFERROR(VLOOKUP(E32,$M$2:$O$12,3,0),"")</f>
        <v/>
      </c>
      <c r="E32" s="12" t="n"/>
      <c r="F32" s="14" t="n"/>
      <c r="G32" s="15">
        <f>IFERROR(IF(E32&lt;&gt;"",VLOOKUP(E32,$M$2:$N$12,2,0),""),"")</f>
        <v/>
      </c>
      <c r="H32" s="16" t="n"/>
      <c r="I32" s="16" t="n"/>
      <c r="J32" s="16" t="n"/>
      <c r="K32" s="17">
        <f>IFERROR(IF(E32&lt;&gt;"",G32+IF(H32="",0,H32)+IF(I32="",0,I32)+IF(J32="",0,J32),""),"")</f>
        <v/>
      </c>
    </row>
    <row r="33" ht="18" customHeight="1">
      <c r="A33" s="10">
        <f>IF(B33&lt;&gt;"",ROW()-5,"")</f>
        <v/>
      </c>
      <c r="B33" s="11" t="n"/>
      <c r="C33" s="12" t="n"/>
      <c r="D33" s="13">
        <f>IFERROR(VLOOKUP(E33,$M$2:$O$12,3,0),"")</f>
        <v/>
      </c>
      <c r="E33" s="12" t="n"/>
      <c r="F33" s="14" t="n"/>
      <c r="G33" s="15">
        <f>IFERROR(IF(E33&lt;&gt;"",VLOOKUP(E33,$M$2:$N$12,2,0),""),"")</f>
        <v/>
      </c>
      <c r="H33" s="16" t="n"/>
      <c r="I33" s="16" t="n"/>
      <c r="J33" s="16" t="n"/>
      <c r="K33" s="17">
        <f>IFERROR(IF(E33&lt;&gt;"",G33+IF(H33="",0,H33)+IF(I33="",0,I33)+IF(J33="",0,J33),""),"")</f>
        <v/>
      </c>
    </row>
    <row r="34" ht="18" customHeight="1">
      <c r="A34" s="10">
        <f>IF(B34&lt;&gt;"",ROW()-5,"")</f>
        <v/>
      </c>
      <c r="B34" s="11" t="n"/>
      <c r="C34" s="12" t="n"/>
      <c r="D34" s="13">
        <f>IFERROR(VLOOKUP(E34,$M$2:$O$12,3,0),"")</f>
        <v/>
      </c>
      <c r="E34" s="12" t="n"/>
      <c r="F34" s="14" t="n"/>
      <c r="G34" s="15">
        <f>IFERROR(IF(E34&lt;&gt;"",VLOOKUP(E34,$M$2:$N$12,2,0),""),"")</f>
        <v/>
      </c>
      <c r="H34" s="16" t="n"/>
      <c r="I34" s="16" t="n"/>
      <c r="J34" s="16" t="n"/>
      <c r="K34" s="17">
        <f>IFERROR(IF(E34&lt;&gt;"",G34+IF(H34="",0,H34)+IF(I34="",0,I34)+IF(J34="",0,J34),""),"")</f>
        <v/>
      </c>
    </row>
    <row r="35" ht="18" customHeight="1">
      <c r="A35" s="10">
        <f>IF(B35&lt;&gt;"",ROW()-5,"")</f>
        <v/>
      </c>
      <c r="B35" s="11" t="n"/>
      <c r="C35" s="12" t="n"/>
      <c r="D35" s="13">
        <f>IFERROR(VLOOKUP(E35,$M$2:$O$12,3,0),"")</f>
        <v/>
      </c>
      <c r="E35" s="12" t="n"/>
      <c r="F35" s="14" t="n"/>
      <c r="G35" s="15">
        <f>IFERROR(IF(E35&lt;&gt;"",VLOOKUP(E35,$M$2:$N$12,2,0),""),"")</f>
        <v/>
      </c>
      <c r="H35" s="16" t="n"/>
      <c r="I35" s="16" t="n"/>
      <c r="J35" s="16" t="n"/>
      <c r="K35" s="17">
        <f>IFERROR(IF(E35&lt;&gt;"",G35+IF(H35="",0,H35)+IF(I35="",0,I35)+IF(J35="",0,J35),""),"")</f>
        <v/>
      </c>
    </row>
    <row r="36" ht="18" customHeight="1">
      <c r="A36" s="10">
        <f>IF(B36&lt;&gt;"",ROW()-5,"")</f>
        <v/>
      </c>
      <c r="B36" s="11" t="n"/>
      <c r="C36" s="12" t="n"/>
      <c r="D36" s="13">
        <f>IFERROR(VLOOKUP(E36,$M$2:$O$12,3,0),"")</f>
        <v/>
      </c>
      <c r="E36" s="12" t="n"/>
      <c r="F36" s="14" t="n"/>
      <c r="G36" s="15">
        <f>IFERROR(IF(E36&lt;&gt;"",VLOOKUP(E36,$M$2:$N$12,2,0),""),"")</f>
        <v/>
      </c>
      <c r="H36" s="16" t="n"/>
      <c r="I36" s="16" t="n"/>
      <c r="J36" s="16" t="n"/>
      <c r="K36" s="17">
        <f>IFERROR(IF(E36&lt;&gt;"",G36+IF(H36="",0,H36)+IF(I36="",0,I36)+IF(J36="",0,J36),""),"")</f>
        <v/>
      </c>
    </row>
    <row r="37" ht="18" customHeight="1">
      <c r="A37" s="10">
        <f>IF(B37&lt;&gt;"",ROW()-5,"")</f>
        <v/>
      </c>
      <c r="B37" s="11" t="n"/>
      <c r="C37" s="12" t="n"/>
      <c r="D37" s="13">
        <f>IFERROR(VLOOKUP(E37,$M$2:$O$12,3,0),"")</f>
        <v/>
      </c>
      <c r="E37" s="12" t="n"/>
      <c r="F37" s="14" t="n"/>
      <c r="G37" s="15">
        <f>IFERROR(IF(E37&lt;&gt;"",VLOOKUP(E37,$M$2:$N$12,2,0),""),"")</f>
        <v/>
      </c>
      <c r="H37" s="16" t="n"/>
      <c r="I37" s="16" t="n"/>
      <c r="J37" s="16" t="n"/>
      <c r="K37" s="17">
        <f>IFERROR(IF(E37&lt;&gt;"",G37+IF(H37="",0,H37)+IF(I37="",0,I37)+IF(J37="",0,J37),""),"")</f>
        <v/>
      </c>
    </row>
    <row r="38" ht="18" customHeight="1">
      <c r="A38" s="10">
        <f>IF(B38&lt;&gt;"",ROW()-5,"")</f>
        <v/>
      </c>
      <c r="B38" s="11" t="n"/>
      <c r="C38" s="12" t="n"/>
      <c r="D38" s="13">
        <f>IFERROR(VLOOKUP(E38,$M$2:$O$12,3,0),"")</f>
        <v/>
      </c>
      <c r="E38" s="12" t="n"/>
      <c r="F38" s="14" t="n"/>
      <c r="G38" s="15">
        <f>IFERROR(IF(E38&lt;&gt;"",VLOOKUP(E38,$M$2:$N$12,2,0),""),"")</f>
        <v/>
      </c>
      <c r="H38" s="16" t="n"/>
      <c r="I38" s="16" t="n"/>
      <c r="J38" s="16" t="n"/>
      <c r="K38" s="17">
        <f>IFERROR(IF(E38&lt;&gt;"",G38+IF(H38="",0,H38)+IF(I38="",0,I38)+IF(J38="",0,J38),""),"")</f>
        <v/>
      </c>
    </row>
    <row r="39" ht="18" customHeight="1">
      <c r="A39" s="10">
        <f>IF(B39&lt;&gt;"",ROW()-5,"")</f>
        <v/>
      </c>
      <c r="B39" s="11" t="n"/>
      <c r="C39" s="12" t="n"/>
      <c r="D39" s="13">
        <f>IFERROR(VLOOKUP(E39,$M$2:$O$12,3,0),"")</f>
        <v/>
      </c>
      <c r="E39" s="12" t="n"/>
      <c r="F39" s="14" t="n"/>
      <c r="G39" s="15">
        <f>IFERROR(IF(E39&lt;&gt;"",VLOOKUP(E39,$M$2:$N$12,2,0),""),"")</f>
        <v/>
      </c>
      <c r="H39" s="16" t="n"/>
      <c r="I39" s="16" t="n"/>
      <c r="J39" s="16" t="n"/>
      <c r="K39" s="17">
        <f>IFERROR(IF(E39&lt;&gt;"",G39+IF(H39="",0,H39)+IF(I39="",0,I39)+IF(J39="",0,J39),""),"")</f>
        <v/>
      </c>
    </row>
    <row r="40" ht="18" customHeight="1">
      <c r="A40" s="10">
        <f>IF(B40&lt;&gt;"",ROW()-5,"")</f>
        <v/>
      </c>
      <c r="B40" s="11" t="n"/>
      <c r="C40" s="12" t="n"/>
      <c r="D40" s="13">
        <f>IFERROR(VLOOKUP(E40,$M$2:$O$12,3,0),"")</f>
        <v/>
      </c>
      <c r="E40" s="12" t="n"/>
      <c r="F40" s="14" t="n"/>
      <c r="G40" s="15">
        <f>IFERROR(IF(E40&lt;&gt;"",VLOOKUP(E40,$M$2:$N$12,2,0),""),"")</f>
        <v/>
      </c>
      <c r="H40" s="16" t="n"/>
      <c r="I40" s="16" t="n"/>
      <c r="J40" s="16" t="n"/>
      <c r="K40" s="17">
        <f>IFERROR(IF(E40&lt;&gt;"",G40+IF(H40="",0,H40)+IF(I40="",0,I40)+IF(J40="",0,J40),""),"")</f>
        <v/>
      </c>
    </row>
    <row r="41" ht="18" customHeight="1">
      <c r="A41" s="10">
        <f>IF(B41&lt;&gt;"",ROW()-5,"")</f>
        <v/>
      </c>
      <c r="B41" s="11" t="n"/>
      <c r="C41" s="12" t="n"/>
      <c r="D41" s="13">
        <f>IFERROR(VLOOKUP(E41,$M$2:$O$12,3,0),"")</f>
        <v/>
      </c>
      <c r="E41" s="12" t="n"/>
      <c r="F41" s="14" t="n"/>
      <c r="G41" s="15">
        <f>IFERROR(IF(E41&lt;&gt;"",VLOOKUP(E41,$M$2:$N$12,2,0),""),"")</f>
        <v/>
      </c>
      <c r="H41" s="16" t="n"/>
      <c r="I41" s="16" t="n"/>
      <c r="J41" s="16" t="n"/>
      <c r="K41" s="17">
        <f>IFERROR(IF(E41&lt;&gt;"",G41+IF(H41="",0,H41)+IF(I41="",0,I41)+IF(J41="",0,J41),""),"")</f>
        <v/>
      </c>
    </row>
    <row r="42" ht="18" customHeight="1">
      <c r="A42" s="10">
        <f>IF(B42&lt;&gt;"",ROW()-5,"")</f>
        <v/>
      </c>
      <c r="B42" s="11" t="n"/>
      <c r="C42" s="12" t="n"/>
      <c r="D42" s="13">
        <f>IFERROR(VLOOKUP(E42,$M$2:$O$12,3,0),"")</f>
        <v/>
      </c>
      <c r="E42" s="12" t="n"/>
      <c r="F42" s="14" t="n"/>
      <c r="G42" s="15">
        <f>IFERROR(IF(E42&lt;&gt;"",VLOOKUP(E42,$M$2:$N$12,2,0),""),"")</f>
        <v/>
      </c>
      <c r="H42" s="16" t="n"/>
      <c r="I42" s="16" t="n"/>
      <c r="J42" s="16" t="n"/>
      <c r="K42" s="17">
        <f>IFERROR(IF(E42&lt;&gt;"",G42+IF(H42="",0,H42)+IF(I42="",0,I42)+IF(J42="",0,J42),""),"")</f>
        <v/>
      </c>
    </row>
    <row r="43" ht="18" customHeight="1">
      <c r="A43" s="10">
        <f>IF(B43&lt;&gt;"",ROW()-5,"")</f>
        <v/>
      </c>
      <c r="B43" s="11" t="n"/>
      <c r="C43" s="12" t="n"/>
      <c r="D43" s="13">
        <f>IFERROR(VLOOKUP(E43,$M$2:$O$12,3,0),"")</f>
        <v/>
      </c>
      <c r="E43" s="12" t="n"/>
      <c r="F43" s="14" t="n"/>
      <c r="G43" s="15">
        <f>IFERROR(IF(E43&lt;&gt;"",VLOOKUP(E43,$M$2:$N$12,2,0),""),"")</f>
        <v/>
      </c>
      <c r="H43" s="16" t="n"/>
      <c r="I43" s="16" t="n"/>
      <c r="J43" s="16" t="n"/>
      <c r="K43" s="17">
        <f>IFERROR(IF(E43&lt;&gt;"",G43+IF(H43="",0,H43)+IF(I43="",0,I43)+IF(J43="",0,J43),""),"")</f>
        <v/>
      </c>
    </row>
    <row r="44" ht="18" customHeight="1">
      <c r="A44" s="10">
        <f>IF(B44&lt;&gt;"",ROW()-5,"")</f>
        <v/>
      </c>
      <c r="B44" s="11" t="n"/>
      <c r="C44" s="12" t="n"/>
      <c r="D44" s="13">
        <f>IFERROR(VLOOKUP(E44,$M$2:$O$12,3,0),"")</f>
        <v/>
      </c>
      <c r="E44" s="12" t="n"/>
      <c r="F44" s="14" t="n"/>
      <c r="G44" s="15">
        <f>IFERROR(IF(E44&lt;&gt;"",VLOOKUP(E44,$M$2:$N$12,2,0),""),"")</f>
        <v/>
      </c>
      <c r="H44" s="16" t="n"/>
      <c r="I44" s="16" t="n"/>
      <c r="J44" s="16" t="n"/>
      <c r="K44" s="17">
        <f>IFERROR(IF(E44&lt;&gt;"",G44+IF(H44="",0,H44)+IF(I44="",0,I44)+IF(J44="",0,J44),""),"")</f>
        <v/>
      </c>
    </row>
    <row r="45" ht="18" customHeight="1">
      <c r="A45" s="10">
        <f>IF(B45&lt;&gt;"",ROW()-5,"")</f>
        <v/>
      </c>
      <c r="B45" s="11" t="n"/>
      <c r="C45" s="12" t="n"/>
      <c r="D45" s="13">
        <f>IFERROR(VLOOKUP(E45,$M$2:$O$12,3,0),"")</f>
        <v/>
      </c>
      <c r="E45" s="12" t="n"/>
      <c r="F45" s="14" t="n"/>
      <c r="G45" s="15">
        <f>IFERROR(IF(E45&lt;&gt;"",VLOOKUP(E45,$M$2:$N$12,2,0),""),"")</f>
        <v/>
      </c>
      <c r="H45" s="16" t="n"/>
      <c r="I45" s="16" t="n"/>
      <c r="J45" s="16" t="n"/>
      <c r="K45" s="17">
        <f>IFERROR(IF(E45&lt;&gt;"",G45+IF(H45="",0,H45)+IF(I45="",0,I45)+IF(J45="",0,J45),""),"")</f>
        <v/>
      </c>
    </row>
    <row r="46" ht="18" customHeight="1">
      <c r="A46" s="10">
        <f>IF(B46&lt;&gt;"",ROW()-5,"")</f>
        <v/>
      </c>
      <c r="B46" s="11" t="n"/>
      <c r="C46" s="12" t="n"/>
      <c r="D46" s="13">
        <f>IFERROR(VLOOKUP(E46,$M$2:$O$12,3,0),"")</f>
        <v/>
      </c>
      <c r="E46" s="12" t="n"/>
      <c r="F46" s="14" t="n"/>
      <c r="G46" s="15">
        <f>IFERROR(IF(E46&lt;&gt;"",VLOOKUP(E46,$M$2:$N$12,2,0),""),"")</f>
        <v/>
      </c>
      <c r="H46" s="16" t="n"/>
      <c r="I46" s="16" t="n"/>
      <c r="J46" s="16" t="n"/>
      <c r="K46" s="17">
        <f>IFERROR(IF(E46&lt;&gt;"",G46+IF(H46="",0,H46)+IF(I46="",0,I46)+IF(J46="",0,J46),""),"")</f>
        <v/>
      </c>
    </row>
    <row r="47" ht="18" customHeight="1">
      <c r="A47" s="10">
        <f>IF(B47&lt;&gt;"",ROW()-5,"")</f>
        <v/>
      </c>
      <c r="B47" s="11" t="n"/>
      <c r="C47" s="12" t="n"/>
      <c r="D47" s="13">
        <f>IFERROR(VLOOKUP(E47,$M$2:$O$12,3,0),"")</f>
        <v/>
      </c>
      <c r="E47" s="12" t="n"/>
      <c r="F47" s="14" t="n"/>
      <c r="G47" s="15">
        <f>IFERROR(IF(E47&lt;&gt;"",VLOOKUP(E47,$M$2:$N$12,2,0),""),"")</f>
        <v/>
      </c>
      <c r="H47" s="16" t="n"/>
      <c r="I47" s="16" t="n"/>
      <c r="J47" s="16" t="n"/>
      <c r="K47" s="17">
        <f>IFERROR(IF(E47&lt;&gt;"",G47+IF(H47="",0,H47)+IF(I47="",0,I47)+IF(J47="",0,J47),""),"")</f>
        <v/>
      </c>
    </row>
    <row r="48" ht="18" customHeight="1">
      <c r="A48" s="10">
        <f>IF(B48&lt;&gt;"",ROW()-5,"")</f>
        <v/>
      </c>
      <c r="B48" s="11" t="n"/>
      <c r="C48" s="12" t="n"/>
      <c r="D48" s="13">
        <f>IFERROR(VLOOKUP(E48,$M$2:$O$12,3,0),"")</f>
        <v/>
      </c>
      <c r="E48" s="12" t="n"/>
      <c r="F48" s="14" t="n"/>
      <c r="G48" s="15">
        <f>IFERROR(IF(E48&lt;&gt;"",VLOOKUP(E48,$M$2:$N$12,2,0),""),"")</f>
        <v/>
      </c>
      <c r="H48" s="16" t="n"/>
      <c r="I48" s="16" t="n"/>
      <c r="J48" s="16" t="n"/>
      <c r="K48" s="17">
        <f>IFERROR(IF(E48&lt;&gt;"",G48+IF(H48="",0,H48)+IF(I48="",0,I48)+IF(J48="",0,J48),""),"")</f>
        <v/>
      </c>
    </row>
    <row r="49" ht="18" customHeight="1">
      <c r="A49" s="10">
        <f>IF(B49&lt;&gt;"",ROW()-5,"")</f>
        <v/>
      </c>
      <c r="B49" s="11" t="n"/>
      <c r="C49" s="12" t="n"/>
      <c r="D49" s="13">
        <f>IFERROR(VLOOKUP(E49,$M$2:$O$12,3,0),"")</f>
        <v/>
      </c>
      <c r="E49" s="12" t="n"/>
      <c r="F49" s="14" t="n"/>
      <c r="G49" s="15">
        <f>IFERROR(IF(E49&lt;&gt;"",VLOOKUP(E49,$M$2:$N$12,2,0),""),"")</f>
        <v/>
      </c>
      <c r="H49" s="16" t="n"/>
      <c r="I49" s="16" t="n"/>
      <c r="J49" s="16" t="n"/>
      <c r="K49" s="17">
        <f>IFERROR(IF(E49&lt;&gt;"",G49+IF(H49="",0,H49)+IF(I49="",0,I49)+IF(J49="",0,J49),""),"")</f>
        <v/>
      </c>
    </row>
    <row r="50" ht="18" customHeight="1">
      <c r="A50" s="10">
        <f>IF(B50&lt;&gt;"",ROW()-5,"")</f>
        <v/>
      </c>
      <c r="B50" s="11" t="n"/>
      <c r="C50" s="12" t="n"/>
      <c r="D50" s="13">
        <f>IFERROR(VLOOKUP(E50,$M$2:$O$12,3,0),"")</f>
        <v/>
      </c>
      <c r="E50" s="12" t="n"/>
      <c r="F50" s="14" t="n"/>
      <c r="G50" s="15">
        <f>IFERROR(IF(E50&lt;&gt;"",VLOOKUP(E50,$M$2:$N$12,2,0),""),"")</f>
        <v/>
      </c>
      <c r="H50" s="16" t="n"/>
      <c r="I50" s="16" t="n"/>
      <c r="J50" s="16" t="n"/>
      <c r="K50" s="17">
        <f>IFERROR(IF(E50&lt;&gt;"",G50+IF(H50="",0,H50)+IF(I50="",0,I50)+IF(J50="",0,J50),""),"")</f>
        <v/>
      </c>
    </row>
    <row r="51" ht="18" customHeight="1">
      <c r="A51" s="10">
        <f>IF(B51&lt;&gt;"",ROW()-5,"")</f>
        <v/>
      </c>
      <c r="B51" s="11" t="n"/>
      <c r="C51" s="12" t="n"/>
      <c r="D51" s="13">
        <f>IFERROR(VLOOKUP(E51,$M$2:$O$12,3,0),"")</f>
        <v/>
      </c>
      <c r="E51" s="12" t="n"/>
      <c r="F51" s="14" t="n"/>
      <c r="G51" s="15">
        <f>IFERROR(IF(E51&lt;&gt;"",VLOOKUP(E51,$M$2:$N$12,2,0),""),"")</f>
        <v/>
      </c>
      <c r="H51" s="16" t="n"/>
      <c r="I51" s="16" t="n"/>
      <c r="J51" s="16" t="n"/>
      <c r="K51" s="17">
        <f>IFERROR(IF(E51&lt;&gt;"",G51+IF(H51="",0,H51)+IF(I51="",0,I51)+IF(J51="",0,J51),""),"")</f>
        <v/>
      </c>
    </row>
    <row r="52" ht="18" customHeight="1">
      <c r="A52" s="10">
        <f>IF(B52&lt;&gt;"",ROW()-5,"")</f>
        <v/>
      </c>
      <c r="B52" s="11" t="n"/>
      <c r="C52" s="12" t="n"/>
      <c r="D52" s="13">
        <f>IFERROR(VLOOKUP(E52,$M$2:$O$12,3,0),"")</f>
        <v/>
      </c>
      <c r="E52" s="12" t="n"/>
      <c r="F52" s="14" t="n"/>
      <c r="G52" s="15">
        <f>IFERROR(IF(E52&lt;&gt;"",VLOOKUP(E52,$M$2:$N$12,2,0),""),"")</f>
        <v/>
      </c>
      <c r="H52" s="16" t="n"/>
      <c r="I52" s="16" t="n"/>
      <c r="J52" s="16" t="n"/>
      <c r="K52" s="17">
        <f>IFERROR(IF(E52&lt;&gt;"",G52+IF(H52="",0,H52)+IF(I52="",0,I52)+IF(J52="",0,J52),""),"")</f>
        <v/>
      </c>
    </row>
    <row r="53" ht="18" customHeight="1">
      <c r="A53" s="10">
        <f>IF(B53&lt;&gt;"",ROW()-5,"")</f>
        <v/>
      </c>
      <c r="B53" s="11" t="n"/>
      <c r="C53" s="12" t="n"/>
      <c r="D53" s="13">
        <f>IFERROR(VLOOKUP(E53,$M$2:$O$12,3,0),"")</f>
        <v/>
      </c>
      <c r="E53" s="12" t="n"/>
      <c r="F53" s="14" t="n"/>
      <c r="G53" s="15">
        <f>IFERROR(IF(E53&lt;&gt;"",VLOOKUP(E53,$M$2:$N$12,2,0),""),"")</f>
        <v/>
      </c>
      <c r="H53" s="16" t="n"/>
      <c r="I53" s="16" t="n"/>
      <c r="J53" s="16" t="n"/>
      <c r="K53" s="17">
        <f>IFERROR(IF(E53&lt;&gt;"",G53+IF(H53="",0,H53)+IF(I53="",0,I53)+IF(J53="",0,J53),""),"")</f>
        <v/>
      </c>
    </row>
    <row r="54" ht="18" customHeight="1">
      <c r="A54" s="10">
        <f>IF(B54&lt;&gt;"",ROW()-5,"")</f>
        <v/>
      </c>
      <c r="B54" s="11" t="n"/>
      <c r="C54" s="12" t="n"/>
      <c r="D54" s="13">
        <f>IFERROR(VLOOKUP(E54,$M$2:$O$12,3,0),"")</f>
        <v/>
      </c>
      <c r="E54" s="12" t="n"/>
      <c r="F54" s="14" t="n"/>
      <c r="G54" s="15">
        <f>IFERROR(IF(E54&lt;&gt;"",VLOOKUP(E54,$M$2:$N$12,2,0),""),"")</f>
        <v/>
      </c>
      <c r="H54" s="16" t="n"/>
      <c r="I54" s="16" t="n"/>
      <c r="J54" s="16" t="n"/>
      <c r="K54" s="17">
        <f>IFERROR(IF(E54&lt;&gt;"",G54+IF(H54="",0,H54)+IF(I54="",0,I54)+IF(J54="",0,J54),""),"")</f>
        <v/>
      </c>
    </row>
    <row r="55" ht="18" customHeight="1">
      <c r="A55" s="10">
        <f>IF(B55&lt;&gt;"",ROW()-5,"")</f>
        <v/>
      </c>
      <c r="B55" s="11" t="n"/>
      <c r="C55" s="12" t="n"/>
      <c r="D55" s="13">
        <f>IFERROR(VLOOKUP(E55,$M$2:$O$12,3,0),"")</f>
        <v/>
      </c>
      <c r="E55" s="12" t="n"/>
      <c r="F55" s="14" t="n"/>
      <c r="G55" s="15">
        <f>IFERROR(IF(E55&lt;&gt;"",VLOOKUP(E55,$M$2:$N$12,2,0),""),"")</f>
        <v/>
      </c>
      <c r="H55" s="16" t="n"/>
      <c r="I55" s="16" t="n"/>
      <c r="J55" s="16" t="n"/>
      <c r="K55" s="17">
        <f>IFERROR(IF(E55&lt;&gt;"",G55+IF(H55="",0,H55)+IF(I55="",0,I55)+IF(J55="",0,J55),""),"")</f>
        <v/>
      </c>
    </row>
    <row r="56" ht="22" customHeight="1">
      <c r="A56" s="18" t="inlineStr">
        <is>
          <t>TOTAL</t>
        </is>
      </c>
      <c r="G56" s="19">
        <f>IFERROR(SUMIF(B6:B55,"&lt;&gt;""",G6:G55),0)</f>
        <v/>
      </c>
      <c r="H56" s="19">
        <f>IFERROR(SUMIF(B6:B55,"&lt;&gt;""",H6:H55),0)</f>
        <v/>
      </c>
      <c r="I56" s="19">
        <f>IFERROR(SUMIF(B6:B55,"&lt;&gt;""",I6:I55),0)</f>
        <v/>
      </c>
      <c r="J56" s="19">
        <f>IFERROR(SUMIF(B6:B55,"&lt;&gt;""",J6:J55),0)</f>
        <v/>
      </c>
      <c r="K56" s="19">
        <f>IFERROR(SUMIF(B6:B55,"&lt;&gt;""",K6:K55),0)</f>
        <v/>
      </c>
    </row>
  </sheetData>
  <mergeCells count="3">
    <mergeCell ref="A2:K2"/>
    <mergeCell ref="A56:F56"/>
    <mergeCell ref="A3:K3"/>
  </mergeCells>
  <dataValidations count="2">
    <dataValidation sqref="C6:C55" showDropDown="0" showInputMessage="0" showErrorMessage="0" allowBlank="1" type="list">
      <formula1>$P$2:$P$12</formula1>
    </dataValidation>
    <dataValidation sqref="E6:E55" showDropDown="0" showInputMessage="0" showErrorMessage="0" allowBlank="1" type="list">
      <formula1>$M$2:$M$12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4" customWidth="1" min="4" max="4"/>
    <col width="16" customWidth="1" min="5" max="5"/>
    <col width="40" customWidth="1" min="6" max="6"/>
    <col width="18" customWidth="1" min="7" max="7"/>
    <col width="12" customWidth="1" min="8" max="8"/>
    <col width="12" customWidth="1" min="9" max="9"/>
    <col width="0.5" customWidth="1" min="11" max="11"/>
    <col width="0.5" customWidth="1" min="12" max="12"/>
  </cols>
  <sheetData>
    <row r="1" ht="8" customHeight="1"/>
    <row r="2" ht="28" customHeight="1">
      <c r="A2" s="7" t="inlineStr">
        <is>
          <t>LOGISTIQUE WORLD WIDE LLC — DEDUCTIONS</t>
        </is>
      </c>
      <c r="K2" t="inlineStr">
        <is>
          <t>JUGRAJ SINGH TARSEM SINGH</t>
        </is>
      </c>
      <c r="L2" t="inlineStr">
        <is>
          <t>Fine</t>
        </is>
      </c>
    </row>
    <row r="3" ht="18" customHeight="1">
      <c r="A3" s="8" t="inlineStr">
        <is>
          <t xml:space="preserve">  Categories: Fine | Salary advance | Leave without pay | Other   |   Select employee from dropdown</t>
        </is>
      </c>
      <c r="K3" t="inlineStr">
        <is>
          <t>INDERJEET SINGH JASWANT SINGH</t>
        </is>
      </c>
      <c r="L3" t="inlineStr">
        <is>
          <t>Salary advance</t>
        </is>
      </c>
    </row>
    <row r="4" ht="8" customHeight="1">
      <c r="K4" t="inlineStr">
        <is>
          <t>WASEEM KHAN ABDUL WAHAB</t>
        </is>
      </c>
      <c r="L4" t="inlineStr">
        <is>
          <t>Leave without pay</t>
        </is>
      </c>
    </row>
    <row r="5" ht="36" customHeight="1">
      <c r="A5" s="9" t="inlineStr">
        <is>
          <t>Sl</t>
        </is>
      </c>
      <c r="B5" s="9" t="inlineStr">
        <is>
          <t>Date</t>
        </is>
      </c>
      <c r="C5" s="9" t="inlineStr">
        <is>
          <t>Employee Name</t>
        </is>
      </c>
      <c r="D5" s="9" t="inlineStr">
        <is>
          <t>Category</t>
        </is>
      </c>
      <c r="E5" s="9" t="inlineStr">
        <is>
          <t>Sub-category / Type</t>
        </is>
      </c>
      <c r="F5" s="9" t="inlineStr">
        <is>
          <t>Description</t>
        </is>
      </c>
      <c r="G5" s="9" t="inlineStr">
        <is>
          <t>Reference / Case No.</t>
        </is>
      </c>
      <c r="H5" s="9" t="inlineStr">
        <is>
          <t>Traffic Pts</t>
        </is>
      </c>
      <c r="I5" s="9" t="inlineStr">
        <is>
          <t>Amount (AED)</t>
        </is>
      </c>
      <c r="K5" t="inlineStr">
        <is>
          <t>FAISAL RASHEED AWAN ABDUL RASHEED</t>
        </is>
      </c>
      <c r="L5" t="inlineStr">
        <is>
          <t>Other</t>
        </is>
      </c>
    </row>
    <row r="6" ht="18" customHeight="1">
      <c r="A6" s="10">
        <f>IF(C6&lt;&gt;"",ROW()-5,"")</f>
        <v/>
      </c>
      <c r="B6" s="11" t="n"/>
      <c r="C6" s="20" t="n"/>
      <c r="D6" s="20" t="n"/>
      <c r="E6" s="20" t="n"/>
      <c r="F6" s="21" t="n"/>
      <c r="G6" s="14" t="n"/>
      <c r="H6" s="14" t="n"/>
      <c r="I6" s="22" t="n"/>
      <c r="K6" t="inlineStr">
        <is>
          <t>SAJID GULZAR GULZAR NASEEM</t>
        </is>
      </c>
    </row>
    <row r="7" ht="18" customHeight="1">
      <c r="A7" s="10">
        <f>IF(C7&lt;&gt;"",ROW()-5,"")</f>
        <v/>
      </c>
      <c r="B7" s="11" t="n"/>
      <c r="C7" s="20" t="n"/>
      <c r="D7" s="20" t="n"/>
      <c r="E7" s="20" t="n"/>
      <c r="F7" s="21" t="n"/>
      <c r="G7" s="14" t="n"/>
      <c r="H7" s="14" t="n"/>
      <c r="I7" s="22" t="n"/>
      <c r="K7" t="inlineStr">
        <is>
          <t>MUHAMMAD ISHTIAQ GUL AKBAR</t>
        </is>
      </c>
    </row>
    <row r="8" ht="18" customHeight="1">
      <c r="A8" s="10">
        <f>IF(C8&lt;&gt;"",ROW()-5,"")</f>
        <v/>
      </c>
      <c r="B8" s="11" t="n"/>
      <c r="C8" s="20" t="n"/>
      <c r="D8" s="20" t="n"/>
      <c r="E8" s="20" t="n"/>
      <c r="F8" s="21" t="n"/>
      <c r="G8" s="14" t="n"/>
      <c r="H8" s="14" t="n"/>
      <c r="I8" s="22" t="n"/>
      <c r="K8" t="inlineStr">
        <is>
          <t>SAROJ PARIYAR</t>
        </is>
      </c>
    </row>
    <row r="9" ht="18" customHeight="1">
      <c r="A9" s="10">
        <f>IF(C9&lt;&gt;"",ROW()-5,"")</f>
        <v/>
      </c>
      <c r="B9" s="11" t="n"/>
      <c r="C9" s="20" t="n"/>
      <c r="D9" s="20" t="n"/>
      <c r="E9" s="20" t="n"/>
      <c r="F9" s="21" t="n"/>
      <c r="G9" s="14" t="n"/>
      <c r="H9" s="14" t="n"/>
      <c r="I9" s="22" t="n"/>
      <c r="K9" t="inlineStr">
        <is>
          <t>BIR BAHADUR BHUJEL DHAN BAHADUR BHUJEL</t>
        </is>
      </c>
    </row>
    <row r="10" ht="18" customHeight="1">
      <c r="A10" s="10">
        <f>IF(C10&lt;&gt;"",ROW()-5,"")</f>
        <v/>
      </c>
      <c r="B10" s="11" t="n"/>
      <c r="C10" s="20" t="n"/>
      <c r="D10" s="20" t="n"/>
      <c r="E10" s="20" t="n"/>
      <c r="F10" s="21" t="n"/>
      <c r="G10" s="14" t="n"/>
      <c r="H10" s="14" t="n"/>
      <c r="I10" s="22" t="n"/>
      <c r="K10" t="inlineStr">
        <is>
          <t>SURJIT SINGH DALIP SINGH</t>
        </is>
      </c>
    </row>
    <row r="11" ht="18" customHeight="1">
      <c r="A11" s="10">
        <f>IF(C11&lt;&gt;"",ROW()-5,"")</f>
        <v/>
      </c>
      <c r="B11" s="11" t="n"/>
      <c r="C11" s="20" t="n"/>
      <c r="D11" s="20" t="n"/>
      <c r="E11" s="20" t="n"/>
      <c r="F11" s="21" t="n"/>
      <c r="G11" s="14" t="n"/>
      <c r="H11" s="14" t="n"/>
      <c r="I11" s="22" t="n"/>
      <c r="K11" t="inlineStr">
        <is>
          <t>IRFAN ZAFAR ZAFAR IQBAL</t>
        </is>
      </c>
    </row>
    <row r="12" ht="18" customHeight="1">
      <c r="A12" s="10">
        <f>IF(C12&lt;&gt;"",ROW()-5,"")</f>
        <v/>
      </c>
      <c r="B12" s="11" t="n"/>
      <c r="C12" s="20" t="n"/>
      <c r="D12" s="20" t="n"/>
      <c r="E12" s="20" t="n"/>
      <c r="F12" s="21" t="n"/>
      <c r="G12" s="14" t="n"/>
      <c r="H12" s="14" t="n"/>
      <c r="I12" s="22" t="n"/>
      <c r="K12" t="inlineStr">
        <is>
          <t>JAINUL RAFIQ MOHAMMAD RAFIQ</t>
        </is>
      </c>
    </row>
    <row r="13" ht="18" customHeight="1">
      <c r="A13" s="10">
        <f>IF(C13&lt;&gt;"",ROW()-5,"")</f>
        <v/>
      </c>
      <c r="B13" s="11" t="n"/>
      <c r="C13" s="20" t="n"/>
      <c r="D13" s="20" t="n"/>
      <c r="E13" s="20" t="n"/>
      <c r="F13" s="21" t="n"/>
      <c r="G13" s="14" t="n"/>
      <c r="H13" s="14" t="n"/>
      <c r="I13" s="22" t="n"/>
    </row>
    <row r="14" ht="18" customHeight="1">
      <c r="A14" s="10">
        <f>IF(C14&lt;&gt;"",ROW()-5,"")</f>
        <v/>
      </c>
      <c r="B14" s="11" t="n"/>
      <c r="C14" s="20" t="n"/>
      <c r="D14" s="20" t="n"/>
      <c r="E14" s="20" t="n"/>
      <c r="F14" s="21" t="n"/>
      <c r="G14" s="14" t="n"/>
      <c r="H14" s="14" t="n"/>
      <c r="I14" s="22" t="n"/>
    </row>
    <row r="15" ht="18" customHeight="1">
      <c r="A15" s="10">
        <f>IF(C15&lt;&gt;"",ROW()-5,"")</f>
        <v/>
      </c>
      <c r="B15" s="11" t="n"/>
      <c r="C15" s="20" t="n"/>
      <c r="D15" s="20" t="n"/>
      <c r="E15" s="20" t="n"/>
      <c r="F15" s="21" t="n"/>
      <c r="G15" s="14" t="n"/>
      <c r="H15" s="14" t="n"/>
      <c r="I15" s="22" t="n"/>
    </row>
    <row r="16" ht="18" customHeight="1">
      <c r="A16" s="10">
        <f>IF(C16&lt;&gt;"",ROW()-5,"")</f>
        <v/>
      </c>
      <c r="B16" s="11" t="n"/>
      <c r="C16" s="20" t="n"/>
      <c r="D16" s="20" t="n"/>
      <c r="E16" s="20" t="n"/>
      <c r="F16" s="21" t="n"/>
      <c r="G16" s="14" t="n"/>
      <c r="H16" s="14" t="n"/>
      <c r="I16" s="22" t="n"/>
    </row>
    <row r="17" ht="18" customHeight="1">
      <c r="A17" s="10">
        <f>IF(C17&lt;&gt;"",ROW()-5,"")</f>
        <v/>
      </c>
      <c r="B17" s="11" t="n"/>
      <c r="C17" s="20" t="n"/>
      <c r="D17" s="20" t="n"/>
      <c r="E17" s="20" t="n"/>
      <c r="F17" s="21" t="n"/>
      <c r="G17" s="14" t="n"/>
      <c r="H17" s="14" t="n"/>
      <c r="I17" s="22" t="n"/>
    </row>
    <row r="18" ht="18" customHeight="1">
      <c r="A18" s="10">
        <f>IF(C18&lt;&gt;"",ROW()-5,"")</f>
        <v/>
      </c>
      <c r="B18" s="11" t="n"/>
      <c r="C18" s="20" t="n"/>
      <c r="D18" s="20" t="n"/>
      <c r="E18" s="20" t="n"/>
      <c r="F18" s="21" t="n"/>
      <c r="G18" s="14" t="n"/>
      <c r="H18" s="14" t="n"/>
      <c r="I18" s="22" t="n"/>
    </row>
    <row r="19" ht="18" customHeight="1">
      <c r="A19" s="10">
        <f>IF(C19&lt;&gt;"",ROW()-5,"")</f>
        <v/>
      </c>
      <c r="B19" s="11" t="n"/>
      <c r="C19" s="20" t="n"/>
      <c r="D19" s="20" t="n"/>
      <c r="E19" s="20" t="n"/>
      <c r="F19" s="21" t="n"/>
      <c r="G19" s="14" t="n"/>
      <c r="H19" s="14" t="n"/>
      <c r="I19" s="22" t="n"/>
    </row>
    <row r="20" ht="18" customHeight="1">
      <c r="A20" s="10">
        <f>IF(C20&lt;&gt;"",ROW()-5,"")</f>
        <v/>
      </c>
      <c r="B20" s="11" t="n"/>
      <c r="C20" s="20" t="n"/>
      <c r="D20" s="20" t="n"/>
      <c r="E20" s="20" t="n"/>
      <c r="F20" s="21" t="n"/>
      <c r="G20" s="14" t="n"/>
      <c r="H20" s="14" t="n"/>
      <c r="I20" s="22" t="n"/>
    </row>
    <row r="21" ht="18" customHeight="1">
      <c r="A21" s="10">
        <f>IF(C21&lt;&gt;"",ROW()-5,"")</f>
        <v/>
      </c>
      <c r="B21" s="11" t="n"/>
      <c r="C21" s="20" t="n"/>
      <c r="D21" s="20" t="n"/>
      <c r="E21" s="20" t="n"/>
      <c r="F21" s="21" t="n"/>
      <c r="G21" s="14" t="n"/>
      <c r="H21" s="14" t="n"/>
      <c r="I21" s="22" t="n"/>
    </row>
    <row r="22" ht="18" customHeight="1">
      <c r="A22" s="10">
        <f>IF(C22&lt;&gt;"",ROW()-5,"")</f>
        <v/>
      </c>
      <c r="B22" s="11" t="n"/>
      <c r="C22" s="20" t="n"/>
      <c r="D22" s="20" t="n"/>
      <c r="E22" s="20" t="n"/>
      <c r="F22" s="21" t="n"/>
      <c r="G22" s="14" t="n"/>
      <c r="H22" s="14" t="n"/>
      <c r="I22" s="22" t="n"/>
    </row>
    <row r="23" ht="18" customHeight="1">
      <c r="A23" s="10">
        <f>IF(C23&lt;&gt;"",ROW()-5,"")</f>
        <v/>
      </c>
      <c r="B23" s="11" t="n"/>
      <c r="C23" s="20" t="n"/>
      <c r="D23" s="20" t="n"/>
      <c r="E23" s="20" t="n"/>
      <c r="F23" s="21" t="n"/>
      <c r="G23" s="14" t="n"/>
      <c r="H23" s="14" t="n"/>
      <c r="I23" s="22" t="n"/>
    </row>
    <row r="24" ht="18" customHeight="1">
      <c r="A24" s="10">
        <f>IF(C24&lt;&gt;"",ROW()-5,"")</f>
        <v/>
      </c>
      <c r="B24" s="11" t="n"/>
      <c r="C24" s="20" t="n"/>
      <c r="D24" s="20" t="n"/>
      <c r="E24" s="20" t="n"/>
      <c r="F24" s="21" t="n"/>
      <c r="G24" s="14" t="n"/>
      <c r="H24" s="14" t="n"/>
      <c r="I24" s="22" t="n"/>
    </row>
    <row r="25" ht="18" customHeight="1">
      <c r="A25" s="10">
        <f>IF(C25&lt;&gt;"",ROW()-5,"")</f>
        <v/>
      </c>
      <c r="B25" s="11" t="n"/>
      <c r="C25" s="20" t="n"/>
      <c r="D25" s="20" t="n"/>
      <c r="E25" s="20" t="n"/>
      <c r="F25" s="21" t="n"/>
      <c r="G25" s="14" t="n"/>
      <c r="H25" s="14" t="n"/>
      <c r="I25" s="22" t="n"/>
    </row>
    <row r="26" ht="18" customHeight="1">
      <c r="A26" s="10">
        <f>IF(C26&lt;&gt;"",ROW()-5,"")</f>
        <v/>
      </c>
      <c r="B26" s="11" t="n"/>
      <c r="C26" s="20" t="n"/>
      <c r="D26" s="20" t="n"/>
      <c r="E26" s="20" t="n"/>
      <c r="F26" s="21" t="n"/>
      <c r="G26" s="14" t="n"/>
      <c r="H26" s="14" t="n"/>
      <c r="I26" s="22" t="n"/>
    </row>
    <row r="27" ht="18" customHeight="1">
      <c r="A27" s="10">
        <f>IF(C27&lt;&gt;"",ROW()-5,"")</f>
        <v/>
      </c>
      <c r="B27" s="11" t="n"/>
      <c r="C27" s="20" t="n"/>
      <c r="D27" s="20" t="n"/>
      <c r="E27" s="20" t="n"/>
      <c r="F27" s="21" t="n"/>
      <c r="G27" s="14" t="n"/>
      <c r="H27" s="14" t="n"/>
      <c r="I27" s="22" t="n"/>
    </row>
    <row r="28" ht="18" customHeight="1">
      <c r="A28" s="10">
        <f>IF(C28&lt;&gt;"",ROW()-5,"")</f>
        <v/>
      </c>
      <c r="B28" s="11" t="n"/>
      <c r="C28" s="20" t="n"/>
      <c r="D28" s="20" t="n"/>
      <c r="E28" s="20" t="n"/>
      <c r="F28" s="21" t="n"/>
      <c r="G28" s="14" t="n"/>
      <c r="H28" s="14" t="n"/>
      <c r="I28" s="22" t="n"/>
    </row>
    <row r="29" ht="18" customHeight="1">
      <c r="A29" s="10">
        <f>IF(C29&lt;&gt;"",ROW()-5,"")</f>
        <v/>
      </c>
      <c r="B29" s="11" t="n"/>
      <c r="C29" s="20" t="n"/>
      <c r="D29" s="20" t="n"/>
      <c r="E29" s="20" t="n"/>
      <c r="F29" s="21" t="n"/>
      <c r="G29" s="14" t="n"/>
      <c r="H29" s="14" t="n"/>
      <c r="I29" s="22" t="n"/>
    </row>
    <row r="30" ht="18" customHeight="1">
      <c r="A30" s="10">
        <f>IF(C30&lt;&gt;"",ROW()-5,"")</f>
        <v/>
      </c>
      <c r="B30" s="11" t="n"/>
      <c r="C30" s="20" t="n"/>
      <c r="D30" s="20" t="n"/>
      <c r="E30" s="20" t="n"/>
      <c r="F30" s="21" t="n"/>
      <c r="G30" s="14" t="n"/>
      <c r="H30" s="14" t="n"/>
      <c r="I30" s="22" t="n"/>
    </row>
    <row r="31" ht="18" customHeight="1">
      <c r="A31" s="10">
        <f>IF(C31&lt;&gt;"",ROW()-5,"")</f>
        <v/>
      </c>
      <c r="B31" s="11" t="n"/>
      <c r="C31" s="20" t="n"/>
      <c r="D31" s="20" t="n"/>
      <c r="E31" s="20" t="n"/>
      <c r="F31" s="21" t="n"/>
      <c r="G31" s="14" t="n"/>
      <c r="H31" s="14" t="n"/>
      <c r="I31" s="22" t="n"/>
    </row>
    <row r="32" ht="18" customHeight="1">
      <c r="A32" s="10">
        <f>IF(C32&lt;&gt;"",ROW()-5,"")</f>
        <v/>
      </c>
      <c r="B32" s="11" t="n"/>
      <c r="C32" s="20" t="n"/>
      <c r="D32" s="20" t="n"/>
      <c r="E32" s="20" t="n"/>
      <c r="F32" s="21" t="n"/>
      <c r="G32" s="14" t="n"/>
      <c r="H32" s="14" t="n"/>
      <c r="I32" s="22" t="n"/>
    </row>
    <row r="33" ht="18" customHeight="1">
      <c r="A33" s="10">
        <f>IF(C33&lt;&gt;"",ROW()-5,"")</f>
        <v/>
      </c>
      <c r="B33" s="11" t="n"/>
      <c r="C33" s="20" t="n"/>
      <c r="D33" s="20" t="n"/>
      <c r="E33" s="20" t="n"/>
      <c r="F33" s="21" t="n"/>
      <c r="G33" s="14" t="n"/>
      <c r="H33" s="14" t="n"/>
      <c r="I33" s="22" t="n"/>
    </row>
    <row r="34" ht="18" customHeight="1">
      <c r="A34" s="10">
        <f>IF(C34&lt;&gt;"",ROW()-5,"")</f>
        <v/>
      </c>
      <c r="B34" s="11" t="n"/>
      <c r="C34" s="20" t="n"/>
      <c r="D34" s="20" t="n"/>
      <c r="E34" s="20" t="n"/>
      <c r="F34" s="21" t="n"/>
      <c r="G34" s="14" t="n"/>
      <c r="H34" s="14" t="n"/>
      <c r="I34" s="22" t="n"/>
    </row>
    <row r="35" ht="18" customHeight="1">
      <c r="A35" s="10">
        <f>IF(C35&lt;&gt;"",ROW()-5,"")</f>
        <v/>
      </c>
      <c r="B35" s="11" t="n"/>
      <c r="C35" s="20" t="n"/>
      <c r="D35" s="20" t="n"/>
      <c r="E35" s="20" t="n"/>
      <c r="F35" s="21" t="n"/>
      <c r="G35" s="14" t="n"/>
      <c r="H35" s="14" t="n"/>
      <c r="I35" s="22" t="n"/>
    </row>
    <row r="36" ht="22" customHeight="1">
      <c r="A36" s="18" t="inlineStr">
        <is>
          <t>TOTAL DEDUCTIONS</t>
        </is>
      </c>
      <c r="I36" s="23">
        <f>SUM(I6:I35)</f>
        <v/>
      </c>
    </row>
  </sheetData>
  <mergeCells count="3">
    <mergeCell ref="A3:I3"/>
    <mergeCell ref="A36:H36"/>
    <mergeCell ref="A2:I2"/>
  </mergeCells>
  <dataValidations count="2">
    <dataValidation sqref="C6:C35" showDropDown="0" showInputMessage="0" showErrorMessage="0" allowBlank="1" type="list">
      <formula1>$K$2:$K$12</formula1>
    </dataValidation>
    <dataValidation sqref="D6:D35" showDropDown="0" showInputMessage="0" showErrorMessage="0" allowBlank="1" type="list">
      <formula1>$L$2:$L$5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6" customWidth="1" min="3" max="3"/>
    <col width="14" customWidth="1" min="4" max="4"/>
    <col width="14" customWidth="1" min="5" max="5"/>
    <col width="28" customWidth="1" min="6" max="6"/>
    <col width="14" customWidth="1" min="7" max="7"/>
    <col width="22" customWidth="1" min="8" max="8"/>
  </cols>
  <sheetData>
    <row r="1" ht="8" customHeight="1"/>
    <row r="2" ht="28" customHeight="1">
      <c r="A2" s="24" t="inlineStr">
        <is>
          <t>EMPLOYEES — DO NOT MODIFY NAMES (must match Trip Log exactly)</t>
        </is>
      </c>
    </row>
    <row r="3" ht="20" customHeight="1">
      <c r="A3" s="33" t="inlineStr">
        <is>
          <t xml:space="preserve">  Add email addresses to enable automatic salary slip delivery after each payroll run</t>
        </is>
      </c>
    </row>
    <row r="4" ht="30" customHeight="1">
      <c r="A4" s="9" t="inlineStr">
        <is>
          <t>Full Name</t>
        </is>
      </c>
      <c r="B4" s="9" t="inlineStr">
        <is>
          <t>Type</t>
        </is>
      </c>
      <c r="C4" s="9" t="inlineStr">
        <is>
          <t>Designation</t>
        </is>
      </c>
      <c r="D4" s="9" t="inlineStr">
        <is>
          <t>Work Permit</t>
        </is>
      </c>
      <c r="E4" s="9" t="inlineStr">
        <is>
          <t>Labor Card</t>
        </is>
      </c>
      <c r="F4" s="9" t="inlineStr">
        <is>
          <t>IBAN</t>
        </is>
      </c>
      <c r="G4" s="9" t="inlineStr">
        <is>
          <t>Basic Salary (AED)</t>
        </is>
      </c>
      <c r="H4" s="34" t="inlineStr">
        <is>
          <t>Email</t>
        </is>
      </c>
    </row>
    <row r="5" ht="18" customHeight="1">
      <c r="A5" s="25" t="inlineStr">
        <is>
          <t>JUGRAJ SINGH TARSEM SINGH</t>
        </is>
      </c>
      <c r="B5" s="26" t="inlineStr">
        <is>
          <t>Driver</t>
        </is>
      </c>
      <c r="C5" s="25" t="inlineStr">
        <is>
          <t>Driver</t>
        </is>
      </c>
      <c r="D5" s="26" t="inlineStr">
        <is>
          <t>114745323</t>
        </is>
      </c>
      <c r="E5" s="26" t="inlineStr">
        <is>
          <t>115352830</t>
        </is>
      </c>
      <c r="F5" s="25" t="inlineStr">
        <is>
          <t>AE560355640012255102386</t>
        </is>
      </c>
      <c r="G5" s="27" t="n">
        <v>0</v>
      </c>
      <c r="H5" s="35" t="inlineStr"/>
    </row>
    <row r="6" ht="18" customHeight="1">
      <c r="A6" s="28" t="inlineStr">
        <is>
          <t>INDERJEET SINGH JASWANT SINGH</t>
        </is>
      </c>
      <c r="B6" s="29" t="inlineStr">
        <is>
          <t>Driver</t>
        </is>
      </c>
      <c r="C6" s="28" t="inlineStr">
        <is>
          <t>Driver</t>
        </is>
      </c>
      <c r="D6" s="29" t="inlineStr">
        <is>
          <t>114859100</t>
        </is>
      </c>
      <c r="E6" s="29" t="inlineStr">
        <is>
          <t>115354469</t>
        </is>
      </c>
      <c r="F6" s="28" t="inlineStr">
        <is>
          <t>945183561190491</t>
        </is>
      </c>
      <c r="G6" s="30" t="n">
        <v>0</v>
      </c>
      <c r="H6" s="35" t="inlineStr"/>
    </row>
    <row r="7" ht="18" customHeight="1">
      <c r="A7" s="25" t="inlineStr">
        <is>
          <t>WASEEM KHAN ABDUL WAHAB</t>
        </is>
      </c>
      <c r="B7" s="26" t="inlineStr">
        <is>
          <t>Driver</t>
        </is>
      </c>
      <c r="C7" s="25" t="inlineStr">
        <is>
          <t>Driver</t>
        </is>
      </c>
      <c r="D7" s="26" t="inlineStr">
        <is>
          <t>118226216</t>
        </is>
      </c>
      <c r="E7" s="26" t="inlineStr">
        <is>
          <t>119535640</t>
        </is>
      </c>
      <c r="F7" s="25" t="inlineStr">
        <is>
          <t>AE960410000012294875001</t>
        </is>
      </c>
      <c r="G7" s="27" t="n">
        <v>1300</v>
      </c>
      <c r="H7" s="35" t="inlineStr"/>
    </row>
    <row r="8" ht="18" customHeight="1">
      <c r="A8" s="28" t="inlineStr">
        <is>
          <t>FAISAL RASHEED AWAN ABDUL RASHEED</t>
        </is>
      </c>
      <c r="B8" s="29" t="inlineStr">
        <is>
          <t>Driver</t>
        </is>
      </c>
      <c r="C8" s="28" t="inlineStr">
        <is>
          <t>Driver</t>
        </is>
      </c>
      <c r="D8" s="29" t="inlineStr">
        <is>
          <t>118225878</t>
        </is>
      </c>
      <c r="E8" s="29" t="inlineStr">
        <is>
          <t>118635545</t>
        </is>
      </c>
      <c r="F8" s="28" t="inlineStr">
        <is>
          <t>AE820410000012294864001</t>
        </is>
      </c>
      <c r="G8" s="30" t="n">
        <v>1300</v>
      </c>
      <c r="H8" s="35" t="inlineStr"/>
    </row>
    <row r="9" ht="18" customHeight="1">
      <c r="A9" s="25" t="inlineStr">
        <is>
          <t>SAJID GULZAR GULZAR NASEEM</t>
        </is>
      </c>
      <c r="B9" s="26" t="inlineStr">
        <is>
          <t>Driver</t>
        </is>
      </c>
      <c r="C9" s="25" t="inlineStr">
        <is>
          <t>Driver</t>
        </is>
      </c>
      <c r="D9" s="26" t="inlineStr">
        <is>
          <t>120511136</t>
        </is>
      </c>
      <c r="E9" s="26" t="inlineStr">
        <is>
          <t>121057576</t>
        </is>
      </c>
      <c r="F9" s="25" t="inlineStr">
        <is>
          <t>AE430410000012302434001</t>
        </is>
      </c>
      <c r="G9" s="27" t="n">
        <v>1300</v>
      </c>
      <c r="H9" s="35" t="inlineStr"/>
    </row>
    <row r="10" ht="18" customHeight="1">
      <c r="A10" s="28" t="inlineStr">
        <is>
          <t>MUHAMMAD ISHTIAQ GUL AKBAR</t>
        </is>
      </c>
      <c r="B10" s="29" t="inlineStr">
        <is>
          <t>Driver</t>
        </is>
      </c>
      <c r="C10" s="28" t="inlineStr">
        <is>
          <t>Driver</t>
        </is>
      </c>
      <c r="D10" s="29" t="inlineStr">
        <is>
          <t>123529575</t>
        </is>
      </c>
      <c r="E10" s="29" t="inlineStr">
        <is>
          <t>123206286</t>
        </is>
      </c>
      <c r="F10" s="28" t="inlineStr">
        <is>
          <t>AE250260000125957841401</t>
        </is>
      </c>
      <c r="G10" s="30" t="n">
        <v>1300</v>
      </c>
      <c r="H10" s="35" t="inlineStr"/>
    </row>
    <row r="11" ht="18" customHeight="1">
      <c r="A11" s="25" t="inlineStr">
        <is>
          <t>SAROJ PARIYAR</t>
        </is>
      </c>
      <c r="B11" s="26" t="inlineStr">
        <is>
          <t>Driver</t>
        </is>
      </c>
      <c r="C11" s="25" t="inlineStr">
        <is>
          <t>Driver</t>
        </is>
      </c>
      <c r="D11" s="26" t="inlineStr">
        <is>
          <t>123993806</t>
        </is>
      </c>
      <c r="E11" s="26" t="inlineStr">
        <is>
          <t>123854873</t>
        </is>
      </c>
      <c r="F11" s="25" t="inlineStr">
        <is>
          <t>AE350030012904865910001</t>
        </is>
      </c>
      <c r="G11" s="27" t="n">
        <v>1300</v>
      </c>
      <c r="H11" s="35" t="inlineStr"/>
    </row>
    <row r="12" ht="18" customHeight="1">
      <c r="A12" s="28" t="inlineStr">
        <is>
          <t>BIR BAHADUR BHUJEL DHAN BAHADUR BHUJEL</t>
        </is>
      </c>
      <c r="B12" s="29" t="inlineStr">
        <is>
          <t>Driver</t>
        </is>
      </c>
      <c r="C12" s="28" t="inlineStr">
        <is>
          <t>Driver</t>
        </is>
      </c>
      <c r="D12" s="29" t="inlineStr">
        <is>
          <t>127125955</t>
        </is>
      </c>
      <c r="E12" s="29" t="inlineStr">
        <is>
          <t>124857323</t>
        </is>
      </c>
      <c r="F12" s="28" t="inlineStr">
        <is>
          <t>945185242060636</t>
        </is>
      </c>
      <c r="G12" s="30" t="n">
        <v>1300</v>
      </c>
      <c r="H12" s="35" t="inlineStr"/>
    </row>
    <row r="13" ht="18" customHeight="1">
      <c r="A13" s="25" t="inlineStr">
        <is>
          <t>SURJIT SINGH DALIP SINGH</t>
        </is>
      </c>
      <c r="B13" s="26" t="inlineStr">
        <is>
          <t>Driver</t>
        </is>
      </c>
      <c r="C13" s="25" t="inlineStr">
        <is>
          <t>Driver</t>
        </is>
      </c>
      <c r="D13" s="26" t="inlineStr">
        <is>
          <t>87897990</t>
        </is>
      </c>
      <c r="E13" s="26" t="inlineStr">
        <is>
          <t>127582854</t>
        </is>
      </c>
      <c r="F13" s="25" t="inlineStr">
        <is>
          <t>915183561811409</t>
        </is>
      </c>
      <c r="G13" s="27" t="n">
        <v>0</v>
      </c>
      <c r="H13" s="35" t="inlineStr"/>
    </row>
    <row r="14" ht="18" customHeight="1">
      <c r="A14" s="28" t="inlineStr">
        <is>
          <t>IRFAN ZAFAR ZAFAR IQBAL</t>
        </is>
      </c>
      <c r="B14" s="29" t="inlineStr">
        <is>
          <t>Staff</t>
        </is>
      </c>
      <c r="C14" s="28" t="inlineStr">
        <is>
          <t>Sales Associate</t>
        </is>
      </c>
      <c r="D14" s="29" t="inlineStr">
        <is>
          <t>121169305</t>
        </is>
      </c>
      <c r="E14" s="29" t="inlineStr">
        <is>
          <t>125806729</t>
        </is>
      </c>
      <c r="F14" s="28" t="inlineStr">
        <is>
          <t>AE050330000019100649238</t>
        </is>
      </c>
      <c r="G14" s="30" t="n">
        <v>1300</v>
      </c>
      <c r="H14" s="35" t="inlineStr"/>
    </row>
    <row r="15" ht="18" customHeight="1">
      <c r="A15" s="25" t="inlineStr">
        <is>
          <t>JAINUL RAFIQ MOHAMMAD RAFIQ</t>
        </is>
      </c>
      <c r="B15" s="26" t="inlineStr">
        <is>
          <t>Staff</t>
        </is>
      </c>
      <c r="C15" s="25" t="inlineStr">
        <is>
          <t>Sales Associate</t>
        </is>
      </c>
      <c r="D15" s="26" t="inlineStr">
        <is>
          <t>133270851</t>
        </is>
      </c>
      <c r="E15" s="26" t="inlineStr">
        <is>
          <t>N/A</t>
        </is>
      </c>
      <c r="F15" s="25" t="inlineStr">
        <is>
          <t>AE831325211063520000001</t>
        </is>
      </c>
      <c r="G15" s="27" t="n">
        <v>1300</v>
      </c>
      <c r="H15" s="35" t="inlineStr"/>
    </row>
  </sheetData>
  <mergeCells count="2">
    <mergeCell ref="A3:H3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</cols>
  <sheetData>
    <row r="1" ht="8" customHeight="1"/>
    <row r="2" ht="28" customHeight="1">
      <c r="A2" s="24" t="inlineStr">
        <is>
          <t>COMMISSION RATES — ROUTE RATE CARD</t>
        </is>
      </c>
    </row>
    <row r="3" ht="8" customHeight="1"/>
    <row r="4" ht="30" customHeight="1">
      <c r="A4" s="9" t="inlineStr">
        <is>
          <t>Customer</t>
        </is>
      </c>
      <c r="B4" s="9" t="inlineStr">
        <is>
          <t>Route / Trip Type</t>
        </is>
      </c>
      <c r="C4" s="9" t="inlineStr">
        <is>
          <t>Rate (AED per trip)</t>
        </is>
      </c>
    </row>
    <row r="5" ht="18" customHeight="1">
      <c r="A5" s="25" t="inlineStr">
        <is>
          <t>Crown</t>
        </is>
      </c>
      <c r="B5" s="25" t="inlineStr">
        <is>
          <t>DRC</t>
        </is>
      </c>
      <c r="C5" s="31" t="n">
        <v>35</v>
      </c>
    </row>
    <row r="6" ht="18" customHeight="1">
      <c r="A6" s="28" t="inlineStr">
        <is>
          <t>Crown</t>
        </is>
      </c>
      <c r="B6" s="28" t="inlineStr">
        <is>
          <t>ADRC</t>
        </is>
      </c>
      <c r="C6" s="32" t="n">
        <v>85</v>
      </c>
    </row>
    <row r="7" ht="18" customHeight="1">
      <c r="A7" s="25" t="inlineStr">
        <is>
          <t>Crown</t>
        </is>
      </c>
      <c r="B7" s="25" t="inlineStr">
        <is>
          <t>ORC</t>
        </is>
      </c>
      <c r="C7" s="31" t="n">
        <v>160</v>
      </c>
    </row>
    <row r="8" ht="18" customHeight="1">
      <c r="A8" s="28" t="inlineStr">
        <is>
          <t>Crown</t>
        </is>
      </c>
      <c r="B8" s="28" t="inlineStr">
        <is>
          <t>Impala</t>
        </is>
      </c>
      <c r="C8" s="32" t="n">
        <v>25</v>
      </c>
    </row>
    <row r="9" ht="18" customHeight="1">
      <c r="A9" s="25" t="inlineStr">
        <is>
          <t>Crown</t>
        </is>
      </c>
      <c r="B9" s="25" t="inlineStr">
        <is>
          <t>UBF</t>
        </is>
      </c>
      <c r="C9" s="31" t="n">
        <v>35</v>
      </c>
    </row>
    <row r="10" ht="18" customHeight="1">
      <c r="A10" s="28" t="inlineStr">
        <is>
          <t>Crown</t>
        </is>
      </c>
      <c r="B10" s="28" t="inlineStr">
        <is>
          <t>Aujan</t>
        </is>
      </c>
      <c r="C10" s="32" t="n">
        <v>35</v>
      </c>
    </row>
    <row r="11" ht="18" customHeight="1">
      <c r="A11" s="25" t="inlineStr">
        <is>
          <t>Crown</t>
        </is>
      </c>
      <c r="B11" s="25" t="inlineStr">
        <is>
          <t>Kingsley</t>
        </is>
      </c>
      <c r="C11" s="31" t="n">
        <v>25</v>
      </c>
    </row>
    <row r="12" ht="18" customHeight="1">
      <c r="A12" s="28" t="inlineStr">
        <is>
          <t>Utmost</t>
        </is>
      </c>
      <c r="B12" s="28" t="inlineStr">
        <is>
          <t>DIP to RAK</t>
        </is>
      </c>
      <c r="C12" s="32" t="n">
        <v>90</v>
      </c>
    </row>
    <row r="13" ht="18" customHeight="1">
      <c r="A13" s="25" t="inlineStr">
        <is>
          <t>Utmost</t>
        </is>
      </c>
      <c r="B13" s="25" t="inlineStr">
        <is>
          <t>DIP to Fujairah</t>
        </is>
      </c>
      <c r="C13" s="31" t="n">
        <v>100</v>
      </c>
    </row>
    <row r="14" ht="18" customHeight="1">
      <c r="A14" s="28" t="inlineStr">
        <is>
          <t>Utmost</t>
        </is>
      </c>
      <c r="B14" s="28" t="inlineStr">
        <is>
          <t>DIP to Dubai</t>
        </is>
      </c>
      <c r="C14" s="32" t="n">
        <v>50</v>
      </c>
    </row>
    <row r="15" ht="18" customHeight="1">
      <c r="A15" s="25" t="inlineStr">
        <is>
          <t>Automech</t>
        </is>
      </c>
      <c r="B15" s="25" t="inlineStr">
        <is>
          <t>Automech</t>
        </is>
      </c>
      <c r="C15" s="31" t="n">
        <v>900</v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2026-06-22T13:52:32Z</dcterms:created>
  <dcterms:modified xmlns:dcterms="http://purl.org/dc/terms/" xmlns:xsi="http://www.w3.org/2001/XMLSchema-instance" xsi:type="dcterms:W3CDTF">2026-06-22T13:57:24Z</dcterms:modified>
</cp:coreProperties>
</file>